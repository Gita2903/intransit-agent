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785"/>
  </bookViews>
  <sheets>
    <sheet name="PRICE_LIST" sheetId="1" r:id="rId1"/>
  </sheets>
  <externalReferences>
    <externalReference r:id="rId2"/>
  </externalReferences>
  <definedNames>
    <definedName name="_xlnm._FilterDatabase" localSheetId="0" hidden="1">PRICE_LIST!$A$1:$G$161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<sst xmlns="http://schemas.openxmlformats.org/spreadsheetml/2006/main" count="740" uniqueCount="348">
  <si>
    <t>PLU</t>
  </si>
  <si>
    <t>ITEM ID</t>
  </si>
  <si>
    <t>Nama Item</t>
  </si>
  <si>
    <t>Harga</t>
  </si>
  <si>
    <t>UOM</t>
  </si>
  <si>
    <t>KATEGORI</t>
  </si>
  <si>
    <t>UMUR PRODUK</t>
  </si>
  <si>
    <t>FG006281</t>
  </si>
  <si>
    <t>Banana Coffee Dessert Cup CBN</t>
  </si>
  <si>
    <t>PRS</t>
  </si>
  <si>
    <t>DAILY DESSERT</t>
  </si>
  <si>
    <t>FG005619</t>
  </si>
  <si>
    <t>Beef Cheese Hot Cakes CBN</t>
  </si>
  <si>
    <t>FILLED BREAD</t>
  </si>
  <si>
    <t>FG005219</t>
  </si>
  <si>
    <t>Blueberry Cheese Cake CBN</t>
  </si>
  <si>
    <t>PCS</t>
  </si>
  <si>
    <t>FRESH CAKE</t>
  </si>
  <si>
    <t>FG006518</t>
  </si>
  <si>
    <t>Brookies CBN</t>
  </si>
  <si>
    <t>FRIED FOOD</t>
  </si>
  <si>
    <t>FG003158</t>
  </si>
  <si>
    <t>Brownies Cokelat Almond CBN</t>
  </si>
  <si>
    <t>FG005961</t>
  </si>
  <si>
    <t>Buah Potong Apel Fuji CBN</t>
  </si>
  <si>
    <t>FG005960</t>
  </si>
  <si>
    <t>Buah Potong Jambu Kristal CBN</t>
  </si>
  <si>
    <t>FG003214</t>
  </si>
  <si>
    <t>Bun Burger CBN</t>
  </si>
  <si>
    <t>SUPPORTING MATERIAL</t>
  </si>
  <si>
    <t>H+7 dari produksi</t>
  </si>
  <si>
    <t>FG003189</t>
  </si>
  <si>
    <t>Cake Choco Layer CBN</t>
  </si>
  <si>
    <t>FG003188</t>
  </si>
  <si>
    <t>Cake Tiramisu CBN</t>
  </si>
  <si>
    <t>FG006720</t>
  </si>
  <si>
    <t>Caramel Pudding CBN</t>
  </si>
  <si>
    <t>FG004171</t>
  </si>
  <si>
    <t>Caramelized Onion CBN</t>
  </si>
  <si>
    <t>FG006282</t>
  </si>
  <si>
    <t>Cheese Cookie Dessert Cup CBN</t>
  </si>
  <si>
    <t>FG003425</t>
  </si>
  <si>
    <t>Chicken Patty CBN</t>
  </si>
  <si>
    <t>H+180 dari cetak seal</t>
  </si>
  <si>
    <t>FG005019</t>
  </si>
  <si>
    <t>Chicken Saikoro Kebuli Rice CBN</t>
  </si>
  <si>
    <t>BENTO CHILLED</t>
  </si>
  <si>
    <t>FG006721</t>
  </si>
  <si>
    <t>Choco Cheese Pudding CBN</t>
  </si>
  <si>
    <t>FG006280</t>
  </si>
  <si>
    <t>Choco Dessert Cup CBN</t>
  </si>
  <si>
    <t>FG003207</t>
  </si>
  <si>
    <t>Crispy Boneless Chicken CBN</t>
  </si>
  <si>
    <t>FG004007</t>
  </si>
  <si>
    <t>Dimsum Ayam (Khusus) CBN</t>
  </si>
  <si>
    <t>STEAMED FOOD</t>
  </si>
  <si>
    <t>FG004008</t>
  </si>
  <si>
    <t>Dimsum Ayam Bayam (Khusus) CBN</t>
  </si>
  <si>
    <t>FG003201</t>
  </si>
  <si>
    <t>Dimsum Ayam Bayam CBN</t>
  </si>
  <si>
    <t>FG003200</t>
  </si>
  <si>
    <t>Dimsum Ayam CBN</t>
  </si>
  <si>
    <t>FG003619</t>
  </si>
  <si>
    <t>Dimsum Ayam Jamur CBN</t>
  </si>
  <si>
    <t>FG003620</t>
  </si>
  <si>
    <t>Dimsum Ayam Pedas CBN</t>
  </si>
  <si>
    <t>FG004009</t>
  </si>
  <si>
    <t>Dimsum Ayam Udang (Khusus) CBN</t>
  </si>
  <si>
    <t>FG003202</t>
  </si>
  <si>
    <t>Dimsum Ayam Udang CBN</t>
  </si>
  <si>
    <t>FG006584</t>
  </si>
  <si>
    <t>Egg Roll CBN</t>
  </si>
  <si>
    <t>FG006586</t>
  </si>
  <si>
    <t>Ekado CBN</t>
  </si>
  <si>
    <t>FG003227</t>
  </si>
  <si>
    <t>FC Chili Sauce CBN</t>
  </si>
  <si>
    <t>PCK</t>
  </si>
  <si>
    <t>FG003140</t>
  </si>
  <si>
    <t>FC Sambal Bawang 20 Gr CBN</t>
  </si>
  <si>
    <t>FG003141</t>
  </si>
  <si>
    <t>FC Sambal Ijo 20 Gr CBN</t>
  </si>
  <si>
    <t>FG003226</t>
  </si>
  <si>
    <t>FC Tepung Basah 100 gr CBN</t>
  </si>
  <si>
    <t>FG003225</t>
  </si>
  <si>
    <t>FC Tepung Kering 500 gr CBN</t>
  </si>
  <si>
    <t>FG003154</t>
  </si>
  <si>
    <t>French Fries CBN</t>
  </si>
  <si>
    <t>FG003187</t>
  </si>
  <si>
    <t>Fried Chicken Dada CBN</t>
  </si>
  <si>
    <t>FG003184</t>
  </si>
  <si>
    <t>Fried Chicken Paha Atas CBN</t>
  </si>
  <si>
    <t>FG003185</t>
  </si>
  <si>
    <t>Fried Chicken Paha Bawah CBN</t>
  </si>
  <si>
    <t>FG003186</t>
  </si>
  <si>
    <t>Fried Chicken Sayap CBN</t>
  </si>
  <si>
    <t>FG004716</t>
  </si>
  <si>
    <t>Fz Avocado CBN</t>
  </si>
  <si>
    <t>FG003219</t>
  </si>
  <si>
    <t>Fz Bakso Campur Malang 5's CBN</t>
  </si>
  <si>
    <t>FROZEN MEAL</t>
  </si>
  <si>
    <t>FG003163</t>
  </si>
  <si>
    <t>Fz Beef Yakiniku CBN</t>
  </si>
  <si>
    <t>FG004875</t>
  </si>
  <si>
    <t>Fz Bihun Goreng CBN</t>
  </si>
  <si>
    <t>FG003164</t>
  </si>
  <si>
    <t>Fz Chicken Teriyaki CBN</t>
  </si>
  <si>
    <t>FG003208</t>
  </si>
  <si>
    <t>Fz Cwie Mie Ayam Malang CBN</t>
  </si>
  <si>
    <t>FG003162</t>
  </si>
  <si>
    <t>Fz Daging Sapi Cincang CBN</t>
  </si>
  <si>
    <t>FG006147</t>
  </si>
  <si>
    <t>Fz Fried Chicken Dada CBN</t>
  </si>
  <si>
    <t>FG006148</t>
  </si>
  <si>
    <t>Fz Fried Chicken Paha Atas CBN</t>
  </si>
  <si>
    <t>FG006149</t>
  </si>
  <si>
    <t>Fz Fried Chicken Paha Bawah CBN</t>
  </si>
  <si>
    <t>FG006150</t>
  </si>
  <si>
    <t>Fz Fried Chicken Sayap CBN</t>
  </si>
  <si>
    <t>FG005378</t>
  </si>
  <si>
    <t>Fz Lauk Ayam Woku CBN</t>
  </si>
  <si>
    <t>FG005377</t>
  </si>
  <si>
    <t>Fz Lauk Chicken Teriyaki CBN</t>
  </si>
  <si>
    <t>FG005376</t>
  </si>
  <si>
    <t>Fz Lauk Daging Sapi Cabe Ijo CBN</t>
  </si>
  <si>
    <t>FG003173</t>
  </si>
  <si>
    <t>Fz Nasi Ayam Betutu Sambal Matah CBN</t>
  </si>
  <si>
    <t>FG006490</t>
  </si>
  <si>
    <t>Fz Nasi Ayam Gulai Padang CBN</t>
  </si>
  <si>
    <t>FG006615</t>
  </si>
  <si>
    <t>Fz Nasi Ayam Kebuli Saikoro CBN</t>
  </si>
  <si>
    <t>FG003171</t>
  </si>
  <si>
    <t>Fz Nasi Ayam Woku CBN</t>
  </si>
  <si>
    <t>FG003142</t>
  </si>
  <si>
    <t>Fz Nasi Bakar Ayam CBN</t>
  </si>
  <si>
    <t>FG003199</t>
  </si>
  <si>
    <t>Fz Nasi Bakar Ikan Cakalang CBN</t>
  </si>
  <si>
    <t>FG003939</t>
  </si>
  <si>
    <t>Fz Nasi Daging Sapi Lada Hitam (Khusus) CBN</t>
  </si>
  <si>
    <t>FG003841</t>
  </si>
  <si>
    <t>Fz Nasi Daging Sapi Lada Hitam CBN</t>
  </si>
  <si>
    <t>FG003735</t>
  </si>
  <si>
    <t>Fz Nasi Daun Ayam Geprek Sambal Madura CBN</t>
  </si>
  <si>
    <t>FG006802</t>
  </si>
  <si>
    <t>Fz Nasi Daun Ayam Kemangi CBN</t>
  </si>
  <si>
    <t>FG005948</t>
  </si>
  <si>
    <t>Fz Nasi Goreng Hongkong CBN</t>
  </si>
  <si>
    <t>FG005022</t>
  </si>
  <si>
    <t>Fz Nasi Putih CBN</t>
  </si>
  <si>
    <t>FG003191</t>
  </si>
  <si>
    <t>Fz Nasi Rendang Sambal Ijo CBN</t>
  </si>
  <si>
    <t>FG004401</t>
  </si>
  <si>
    <t>Fz Rawon Daging Sapi CBN</t>
  </si>
  <si>
    <t>FG004405</t>
  </si>
  <si>
    <t>Fz Soto Daging Sapi CBN</t>
  </si>
  <si>
    <t>FG004089</t>
  </si>
  <si>
    <t>Fz Spaghetti Bolognaise CBN</t>
  </si>
  <si>
    <t>FG006457</t>
  </si>
  <si>
    <t>Gyoza Ayam CBN</t>
  </si>
  <si>
    <t>FG005709</t>
  </si>
  <si>
    <t>Martabak Telur CBN</t>
  </si>
  <si>
    <t>FG006130</t>
  </si>
  <si>
    <t>Mie Goreng Kampung CBN</t>
  </si>
  <si>
    <t>PASTA &amp; NOODLE</t>
  </si>
  <si>
    <t>FG003196</t>
  </si>
  <si>
    <t>Mix Mayonaise CBN</t>
  </si>
  <si>
    <t>FG005512</t>
  </si>
  <si>
    <t>Muffin Banana Choco CBN</t>
  </si>
  <si>
    <t>FG005712</t>
  </si>
  <si>
    <t>Muffin Blueberry Cheese CBN</t>
  </si>
  <si>
    <t>FG006738</t>
  </si>
  <si>
    <t>Muffin Martabak CBN</t>
  </si>
  <si>
    <t>FG003791</t>
  </si>
  <si>
    <t>Muffin Triple Choco CBN</t>
  </si>
  <si>
    <t>FG003146</t>
  </si>
  <si>
    <t>Nasi Ayam Geprek CBN</t>
  </si>
  <si>
    <t>FG003160</t>
  </si>
  <si>
    <t>Nasi Ayam Geprek Jumbo CBN</t>
  </si>
  <si>
    <t>FG003147</t>
  </si>
  <si>
    <t>Nasi Ayam Goreng Saus Mentega CBN</t>
  </si>
  <si>
    <t>FG005308</t>
  </si>
  <si>
    <t>Nasi Ayam Kemangi CBN</t>
  </si>
  <si>
    <t>FG004748</t>
  </si>
  <si>
    <t>Nasi Goreng Ayam Hongkong CBN</t>
  </si>
  <si>
    <t>FG006682</t>
  </si>
  <si>
    <t>Nasi Goreng Kampung CBN</t>
  </si>
  <si>
    <t>FG006131</t>
  </si>
  <si>
    <t>Nasi Goreng Nusantara CBN</t>
  </si>
  <si>
    <t>FG006739</t>
  </si>
  <si>
    <t>Nasi Goreng Teri CBN</t>
  </si>
  <si>
    <t>FG006009</t>
  </si>
  <si>
    <t>Nasi Kuning Komplit CBN</t>
  </si>
  <si>
    <t>FG003150</t>
  </si>
  <si>
    <t>Nasi Kuning Spesial CBN</t>
  </si>
  <si>
    <t>FG006391</t>
  </si>
  <si>
    <t>Nasi Lemak Ayam Rempah CBN</t>
  </si>
  <si>
    <t>FG005570</t>
  </si>
  <si>
    <t>Nasi Liwet Ayam Cabe Ijo CBN</t>
  </si>
  <si>
    <t>FG003230</t>
  </si>
  <si>
    <t>Nasi Uduk Spesial CBN</t>
  </si>
  <si>
    <t>FG005807</t>
  </si>
  <si>
    <t>Onigiri Ayam Asap Maranggi CBN</t>
  </si>
  <si>
    <t>ONIGIRI</t>
  </si>
  <si>
    <t>FG003231</t>
  </si>
  <si>
    <t>Onigiri Ayam Suwir Gurih CBN</t>
  </si>
  <si>
    <t>FG003143</t>
  </si>
  <si>
    <t>Onigiri Chicken Mayonaise CBN</t>
  </si>
  <si>
    <t>FG003170</t>
  </si>
  <si>
    <t>Onigiri Chicken Teriyaki CBN</t>
  </si>
  <si>
    <t>FG003448</t>
  </si>
  <si>
    <t>Onigiri Empal Suwir CBN</t>
  </si>
  <si>
    <t>FG003220</t>
  </si>
  <si>
    <t>Onigiri Salmon Mayo CBN</t>
  </si>
  <si>
    <t>FG004594</t>
  </si>
  <si>
    <t>Onigiri Salmon Teriyaki CBN</t>
  </si>
  <si>
    <t>FG005617</t>
  </si>
  <si>
    <t>Onigiri Soy Protein Rica CBN</t>
  </si>
  <si>
    <t>FG005516</t>
  </si>
  <si>
    <t>Onigiri Soy Protein Sweet Sauce CBN</t>
  </si>
  <si>
    <t>H+2 dari Produksi</t>
  </si>
  <si>
    <t>FG003161</t>
  </si>
  <si>
    <t>Onigiri Spicy Chicken Mayo CBN</t>
  </si>
  <si>
    <t>FG004100</t>
  </si>
  <si>
    <t>Onigiri Spicy Salmon CBN</t>
  </si>
  <si>
    <t>FG003145</t>
  </si>
  <si>
    <t>Onigiri Spicy Tuna CBN</t>
  </si>
  <si>
    <t>FG003144</t>
  </si>
  <si>
    <t>Onigiri Tuna Mayonaise CBN</t>
  </si>
  <si>
    <t>FG003324</t>
  </si>
  <si>
    <t>Pickle Timun CBN</t>
  </si>
  <si>
    <t>FG004914</t>
  </si>
  <si>
    <t>Pizza 4 Cheese CBN</t>
  </si>
  <si>
    <t>PIZZA</t>
  </si>
  <si>
    <t>FG003165</t>
  </si>
  <si>
    <t>Pizza Beef Pepperoni CBN</t>
  </si>
  <si>
    <t>FG004913</t>
  </si>
  <si>
    <t>Pizza Beef Pepperoni Onion &amp; Olive CBN</t>
  </si>
  <si>
    <t>FG003166</t>
  </si>
  <si>
    <t>Pizza Margherita CBN</t>
  </si>
  <si>
    <t>FG006452</t>
  </si>
  <si>
    <t>Pizza Smoked Beef CBN</t>
  </si>
  <si>
    <t>FG003167</t>
  </si>
  <si>
    <t>Pizza Smoked Beef Cheese Mayo CBN</t>
  </si>
  <si>
    <t>FG006453</t>
  </si>
  <si>
    <t>Pizza Truffle Mushroom CBN</t>
  </si>
  <si>
    <t>FG005722</t>
  </si>
  <si>
    <t>PO Chicken With Truffle Sauce CBN</t>
  </si>
  <si>
    <t>PRE-ORDER</t>
  </si>
  <si>
    <t>H+3 dari produksi</t>
  </si>
  <si>
    <t>FG005723</t>
  </si>
  <si>
    <t>PO Fz Bihun Goreng CBN</t>
  </si>
  <si>
    <t>FG005719</t>
  </si>
  <si>
    <t>PO Fz Nasi Daun Ayam Geprek CBN</t>
  </si>
  <si>
    <t>FG006303</t>
  </si>
  <si>
    <t>PO Mie Goreng Kampung CBN</t>
  </si>
  <si>
    <t>FG005718</t>
  </si>
  <si>
    <t>PO Nasi Ayam Kemangi CBN</t>
  </si>
  <si>
    <t>FG005717</t>
  </si>
  <si>
    <t>PO Nasi Goreng Hongkong CBN</t>
  </si>
  <si>
    <t>FG006806</t>
  </si>
  <si>
    <t>PO Nasi Goreng Kampung CBN</t>
  </si>
  <si>
    <t>FG006074</t>
  </si>
  <si>
    <t>PO Nasi Goreng Merah Ayam Panggang CBN</t>
  </si>
  <si>
    <t>FG006305</t>
  </si>
  <si>
    <t>PO Nasi Goreng Nusantara CBN</t>
  </si>
  <si>
    <t>FG006807</t>
  </si>
  <si>
    <t>PO Nasi Goreng Teri CBN</t>
  </si>
  <si>
    <t>FG006304</t>
  </si>
  <si>
    <t>PO Nasi Kuning Komplit CBN</t>
  </si>
  <si>
    <t>FG005724</t>
  </si>
  <si>
    <t>PO Nasi Liwet Ayam Cabe Ijo CBN</t>
  </si>
  <si>
    <t>FG005725</t>
  </si>
  <si>
    <t>PO Nasi Tuna Rica Kemangi CBN</t>
  </si>
  <si>
    <t>FG006072</t>
  </si>
  <si>
    <t>PO Nasi Uduk Spesial CBN</t>
  </si>
  <si>
    <t>FG006075</t>
  </si>
  <si>
    <t>PO Onigiri Chicken Mayo CBN</t>
  </si>
  <si>
    <t>FG006073</t>
  </si>
  <si>
    <t>PO Onigiri Spicy Tuna CBN</t>
  </si>
  <si>
    <t>FG005786</t>
  </si>
  <si>
    <t>PO Paket Komplit Padang Set CBN</t>
  </si>
  <si>
    <t>FG005796</t>
  </si>
  <si>
    <t>PO Puding Lumut 5's CBN</t>
  </si>
  <si>
    <t>FG006693</t>
  </si>
  <si>
    <t>PO Rendang Set Komplit CBN</t>
  </si>
  <si>
    <t>FG006549</t>
  </si>
  <si>
    <t>PO Set Gulai Ayam CBN</t>
  </si>
  <si>
    <t>FG006545</t>
  </si>
  <si>
    <t>PO Set Kebuli CBN</t>
  </si>
  <si>
    <t>FG005992</t>
  </si>
  <si>
    <t>PO Snack Pack CBN</t>
  </si>
  <si>
    <t>FG005721</t>
  </si>
  <si>
    <t>PO Spaghetti Bolognese Spesial CBN</t>
  </si>
  <si>
    <t>FG005720</t>
  </si>
  <si>
    <t>PO Spaghetti Creamy Mushroom Carbonara CBN</t>
  </si>
  <si>
    <t>FG004167</t>
  </si>
  <si>
    <t>Sambal Oden CBN</t>
  </si>
  <si>
    <t>SOUP</t>
  </si>
  <si>
    <t>FG004346</t>
  </si>
  <si>
    <t>Sandwich Chicken Nanban CBN</t>
  </si>
  <si>
    <t>FG005463</t>
  </si>
  <si>
    <t>Sandwich Egg Mushroom Spicy CBN</t>
  </si>
  <si>
    <t>FG005094</t>
  </si>
  <si>
    <t>Sandwich Korean Garlic Cream Cheese CBN</t>
  </si>
  <si>
    <t>FG003169</t>
  </si>
  <si>
    <t>Sandwich Menchikatsu CBN</t>
  </si>
  <si>
    <t>FG004051</t>
  </si>
  <si>
    <t>Sandwich Spicy Beef Tamago CBN</t>
  </si>
  <si>
    <t>FG004052</t>
  </si>
  <si>
    <t>Sandwich Spicy Chicken Katsu CBN</t>
  </si>
  <si>
    <t>FG004169</t>
  </si>
  <si>
    <t>Signature Sauce CBN</t>
  </si>
  <si>
    <t>FG003734</t>
  </si>
  <si>
    <t>Siomay Ayam CBN</t>
  </si>
  <si>
    <t>FG003139</t>
  </si>
  <si>
    <t>Siomay Ayam Udang CBN</t>
  </si>
  <si>
    <t>FG005126</t>
  </si>
  <si>
    <t>Sosis Bakar Sapi Keju OMI CBN</t>
  </si>
  <si>
    <t>GRILLED FOOD</t>
  </si>
  <si>
    <t>FG003195</t>
  </si>
  <si>
    <t>Sosis Bockwurst CBN</t>
  </si>
  <si>
    <t>FG006618</t>
  </si>
  <si>
    <t>Sosis Happy CBN</t>
  </si>
  <si>
    <t>FG003151</t>
  </si>
  <si>
    <t>Spaghetti Bolognese Spesial CBN</t>
  </si>
  <si>
    <t>FG006456</t>
  </si>
  <si>
    <t>Spicy Chicken Tender CBN</t>
  </si>
  <si>
    <t>FG003565</t>
  </si>
  <si>
    <t>Spicy Korean Fried Chicken Rice CBN</t>
  </si>
  <si>
    <t>FG005834</t>
  </si>
  <si>
    <t>Spicy Wings CBN</t>
  </si>
  <si>
    <t>FG004522</t>
  </si>
  <si>
    <t>Steam Pao Besar Ayam Kecap CBN</t>
  </si>
  <si>
    <t>FG004523</t>
  </si>
  <si>
    <t>Steam Pao Besar Ayam Panggang CBN</t>
  </si>
  <si>
    <t>FG004796</t>
  </si>
  <si>
    <t>Steam Pao Besar Cokelat Kacang CBN</t>
  </si>
  <si>
    <t>FG004942</t>
  </si>
  <si>
    <t>Steam Pao Besar Kacang Merah CBN</t>
  </si>
  <si>
    <t>FG005040</t>
  </si>
  <si>
    <t>Steam Pao Besar Opor Ayam CBN</t>
  </si>
  <si>
    <t>FG005041</t>
  </si>
  <si>
    <t>Steam Pao Besar Pandan CBN</t>
  </si>
  <si>
    <t>FG004943</t>
  </si>
  <si>
    <t>Steam Pao Besar Salted Egg CBN</t>
  </si>
  <si>
    <t>FG005282</t>
  </si>
  <si>
    <t>Strawberry Cheese Cake CBN</t>
  </si>
  <si>
    <t>FG003215</t>
  </si>
  <si>
    <t>Vegetable CBN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</si>
</sst>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MUR%20PRODUK%20Yummy%20Choi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mur_produk"/>
    </sheetNames>
    <sheetDataSet>
      <sheetData sheetId="0">
        <row r="2">
          <cell r="A2">
            <v>20052334</v>
          </cell>
          <cell r="B2" t="str">
            <v>Onigiri Chicken Mayonaise CBN</v>
          </cell>
          <cell r="C2" t="str">
            <v>H+2 dari Produksi</v>
          </cell>
        </row>
        <row r="3">
          <cell r="A3">
            <v>20052331</v>
          </cell>
          <cell r="B3" t="str">
            <v>Onigiri Tuna Mayonaise CBN</v>
          </cell>
          <cell r="C3" t="str">
            <v>H+2 dari Produksi</v>
          </cell>
        </row>
        <row r="4">
          <cell r="A4">
            <v>20052330</v>
          </cell>
          <cell r="B4" t="str">
            <v>Onigiri Spicy Tuna CBN</v>
          </cell>
          <cell r="C4" t="str">
            <v>H+2 dari Produksi</v>
          </cell>
        </row>
        <row r="5">
          <cell r="A5">
            <v>20087034</v>
          </cell>
          <cell r="B5" t="str">
            <v>Onigiri Spicy Chicken Mayo CBN</v>
          </cell>
          <cell r="C5" t="str">
            <v>H+2 dari Produksi</v>
          </cell>
        </row>
        <row r="6">
          <cell r="A6">
            <v>20096377</v>
          </cell>
          <cell r="B6" t="str">
            <v>Onigiri Chicken Teriyaki CBN</v>
          </cell>
          <cell r="C6" t="str">
            <v>H+2 dari Produksi</v>
          </cell>
        </row>
        <row r="7">
          <cell r="A7">
            <v>20101166</v>
          </cell>
          <cell r="B7" t="str">
            <v>Onigiri Salmon Mayo CBN</v>
          </cell>
          <cell r="C7" t="str">
            <v>H+2 dari Produksi</v>
          </cell>
        </row>
        <row r="8">
          <cell r="A8">
            <v>20121402</v>
          </cell>
          <cell r="B8" t="str">
            <v>Onigiri Spicy Salmon CBN</v>
          </cell>
          <cell r="C8" t="str">
            <v>H+2 dari Produksi</v>
          </cell>
        </row>
        <row r="9">
          <cell r="A9">
            <v>20104545</v>
          </cell>
          <cell r="B9" t="str">
            <v>Onigiri Ayam Suwir Gurih CBN</v>
          </cell>
          <cell r="C9" t="str">
            <v>H+2 dari Produksi</v>
          </cell>
        </row>
        <row r="10">
          <cell r="A10">
            <v>20117271</v>
          </cell>
          <cell r="B10" t="str">
            <v>Onigiri Empal Suwir CBN</v>
          </cell>
          <cell r="C10" t="str">
            <v>H+2 dari Produksi</v>
          </cell>
        </row>
        <row r="11">
          <cell r="A11">
            <v>20090689</v>
          </cell>
          <cell r="B11" t="str">
            <v>Onigiri Salmon Teriyaki CBN</v>
          </cell>
          <cell r="C11" t="str">
            <v>H+2 dari Produksi</v>
          </cell>
        </row>
        <row r="12">
          <cell r="A12">
            <v>20136864</v>
          </cell>
          <cell r="B12" t="str">
            <v>Onigiri Soy Protein Rica CBN</v>
          </cell>
          <cell r="C12" t="str">
            <v>H+2 dari Produksi</v>
          </cell>
        </row>
        <row r="13">
          <cell r="A13">
            <v>20136864</v>
          </cell>
          <cell r="B13" t="str">
            <v>Onigiri Soy Protein Rica CBN</v>
          </cell>
          <cell r="C13" t="str">
            <v>H+2 dari Produksi</v>
          </cell>
        </row>
        <row r="14">
          <cell r="A14">
            <v>20137856</v>
          </cell>
          <cell r="B14" t="str">
            <v>Onigiri Ayam Asap Maranggi CBN</v>
          </cell>
          <cell r="C14" t="str">
            <v>H+2 dari Produksi</v>
          </cell>
        </row>
        <row r="15">
          <cell r="A15">
            <v>20087559</v>
          </cell>
          <cell r="B15" t="str">
            <v>Nasi Ayam Goreng Saus Mentega CBN</v>
          </cell>
          <cell r="C15" t="str">
            <v>H+3 dari produksi</v>
          </cell>
        </row>
        <row r="16">
          <cell r="A16">
            <v>20087560</v>
          </cell>
          <cell r="B16" t="str">
            <v>Nasi Ayam Geprek CBN</v>
          </cell>
          <cell r="C16" t="str">
            <v>H+3 dari produksi</v>
          </cell>
        </row>
        <row r="17">
          <cell r="A17">
            <v>20096109</v>
          </cell>
          <cell r="B17" t="str">
            <v>Nasi Ayam Geprek Jumbo CBN</v>
          </cell>
          <cell r="C17" t="str">
            <v>H+3 dari produksi</v>
          </cell>
        </row>
        <row r="18">
          <cell r="A18">
            <v>20135602</v>
          </cell>
          <cell r="B18" t="str">
            <v>Nasi Ayam Kemangi CBN</v>
          </cell>
          <cell r="C18" t="str">
            <v>H+3 dari produksi</v>
          </cell>
        </row>
        <row r="19">
          <cell r="A19">
            <v>20091777</v>
          </cell>
          <cell r="B19" t="str">
            <v>Nasi Kuning Spesial CBN</v>
          </cell>
          <cell r="C19" t="str">
            <v>H+3 dari produksi</v>
          </cell>
        </row>
        <row r="20">
          <cell r="A20">
            <v>20136332</v>
          </cell>
          <cell r="B20" t="str">
            <v>Nasi Liwet Ayam Cabe Ijo CBN</v>
          </cell>
          <cell r="C20" t="str">
            <v>H+3 dari produksi</v>
          </cell>
        </row>
        <row r="21">
          <cell r="A21">
            <v>20028582</v>
          </cell>
          <cell r="B21" t="str">
            <v>Nasi Uduk Spesial CBN</v>
          </cell>
          <cell r="C21" t="str">
            <v>H+3 dari produksi</v>
          </cell>
        </row>
        <row r="22">
          <cell r="A22">
            <v>20122675</v>
          </cell>
          <cell r="B22" t="str">
            <v>Spicy Korean Fried Chicken Rice CBN</v>
          </cell>
          <cell r="C22" t="str">
            <v>H+3 dari produksi</v>
          </cell>
        </row>
        <row r="23">
          <cell r="A23">
            <v>20129198</v>
          </cell>
          <cell r="B23" t="str">
            <v>Nasi Goreng Ayam Hongkong CBN</v>
          </cell>
          <cell r="C23" t="str">
            <v>H+3 dari produksi</v>
          </cell>
        </row>
        <row r="24">
          <cell r="A24">
            <v>20134097</v>
          </cell>
          <cell r="B24" t="str">
            <v>Chicken Saikoro Kebuli Rice CBN</v>
          </cell>
          <cell r="C24" t="str">
            <v>H+3 dari produksi</v>
          </cell>
        </row>
        <row r="25">
          <cell r="A25">
            <v>20138195</v>
          </cell>
          <cell r="B25" t="str">
            <v>Nasi Kuning Komplit CBN</v>
          </cell>
          <cell r="C25" t="str">
            <v>H+3 dari produksi</v>
          </cell>
        </row>
        <row r="26">
          <cell r="A26">
            <v>20139283</v>
          </cell>
          <cell r="B26" t="str">
            <v>Nasi Goreng Nusantara CBN</v>
          </cell>
          <cell r="C26" t="str">
            <v>H+3 dari produksi</v>
          </cell>
        </row>
        <row r="27">
          <cell r="A27">
            <v>20139315</v>
          </cell>
          <cell r="B27" t="str">
            <v>Mie Goreng Kampung CBN</v>
          </cell>
          <cell r="C27" t="str">
            <v>H+3 dari produksi</v>
          </cell>
        </row>
        <row r="28">
          <cell r="A28">
            <v>20139809</v>
          </cell>
          <cell r="B28" t="str">
            <v>Nasi Lemak Ayam Rempah CBN</v>
          </cell>
          <cell r="C28" t="str">
            <v>H+3 dari produksi</v>
          </cell>
        </row>
        <row r="29">
          <cell r="A29">
            <v>20143032</v>
          </cell>
          <cell r="B29" t="str">
            <v>Nasi Goreng Kampung CBN</v>
          </cell>
          <cell r="C29" t="str">
            <v>H+3 dari produksi</v>
          </cell>
        </row>
        <row r="30">
          <cell r="A30">
            <v>20143075</v>
          </cell>
          <cell r="B30" t="str">
            <v>Nasi Goreng Teri CBN</v>
          </cell>
          <cell r="C30" t="str">
            <v>H+3 dari produksi</v>
          </cell>
        </row>
        <row r="31">
          <cell r="A31">
            <v>20141390</v>
          </cell>
          <cell r="B31" t="str">
            <v>Brookies CBN</v>
          </cell>
          <cell r="C31" t="str">
            <v>H+7 dari produksi</v>
          </cell>
        </row>
        <row r="32">
          <cell r="A32">
            <v>20078771</v>
          </cell>
          <cell r="B32" t="str">
            <v>Brownies Cokelat Almond CBN</v>
          </cell>
          <cell r="C32" t="str">
            <v>H+7 dari produksi</v>
          </cell>
        </row>
        <row r="33">
          <cell r="A33">
            <v>20088222</v>
          </cell>
          <cell r="B33" t="str">
            <v>Cake Tiramisu CBN</v>
          </cell>
          <cell r="C33" t="str">
            <v>H+7 dari produksi</v>
          </cell>
        </row>
        <row r="34">
          <cell r="A34">
            <v>20090684</v>
          </cell>
          <cell r="B34" t="str">
            <v>Cake Choco Layer CBN</v>
          </cell>
          <cell r="C34" t="str">
            <v>H+7 dari produksi</v>
          </cell>
        </row>
        <row r="35">
          <cell r="A35">
            <v>20122563</v>
          </cell>
          <cell r="B35" t="str">
            <v>Muffin Triple Choco CBN</v>
          </cell>
          <cell r="C35" t="str">
            <v>H+7 dari produksi</v>
          </cell>
        </row>
        <row r="36">
          <cell r="A36">
            <v>20122564</v>
          </cell>
          <cell r="B36" t="str">
            <v>Muffin Banana Choco CBN</v>
          </cell>
          <cell r="C36" t="str">
            <v>H+7 dari produksi</v>
          </cell>
        </row>
        <row r="37">
          <cell r="A37">
            <v>20122561</v>
          </cell>
          <cell r="B37" t="str">
            <v>Muffin Blueberry Cheese CBN</v>
          </cell>
          <cell r="C37" t="str">
            <v>H+7 dari produksi</v>
          </cell>
        </row>
        <row r="38">
          <cell r="A38">
            <v>20135100</v>
          </cell>
          <cell r="B38" t="str">
            <v>Blueberry Cheese Cake CBN</v>
          </cell>
          <cell r="C38" t="str">
            <v>H+7 dari produksi</v>
          </cell>
        </row>
        <row r="39">
          <cell r="A39">
            <v>20135401</v>
          </cell>
          <cell r="B39" t="str">
            <v>Strawberry Cheese Cake CBN</v>
          </cell>
          <cell r="C39" t="str">
            <v>H+4 produksi</v>
          </cell>
        </row>
        <row r="40">
          <cell r="A40">
            <v>20143418</v>
          </cell>
          <cell r="B40" t="str">
            <v>Muffin Martabak CBN</v>
          </cell>
          <cell r="C40" t="str">
            <v>H+7 dari produksi</v>
          </cell>
        </row>
        <row r="41">
          <cell r="A41">
            <v>20125663</v>
          </cell>
          <cell r="B41" t="str">
            <v>Sandwich Spicy Beef Tamago CBN</v>
          </cell>
          <cell r="C41" t="str">
            <v>H+3 dari produksi</v>
          </cell>
        </row>
        <row r="42">
          <cell r="A42">
            <v>20135784</v>
          </cell>
          <cell r="B42" t="str">
            <v>Sandwich Egg Mushroom Spicy CBN</v>
          </cell>
          <cell r="C42" t="str">
            <v>H+3 dari produksi</v>
          </cell>
        </row>
        <row r="43">
          <cell r="A43">
            <v>20136867</v>
          </cell>
          <cell r="B43" t="str">
            <v>Beef Cheese Hot Cakes CBN</v>
          </cell>
          <cell r="C43" t="str">
            <v>H+2 dari Produksi</v>
          </cell>
        </row>
        <row r="44">
          <cell r="A44">
            <v>20101492</v>
          </cell>
          <cell r="B44" t="str">
            <v>Sandwich Menchikatsu CBN</v>
          </cell>
          <cell r="C44" t="str">
            <v>H+3 dari produksi</v>
          </cell>
        </row>
        <row r="45">
          <cell r="A45">
            <v>20134717</v>
          </cell>
          <cell r="B45" t="str">
            <v>Sandwich Korean Garlic Cream Cheese CBN</v>
          </cell>
          <cell r="C45" t="str">
            <v>H+3 dari produksi</v>
          </cell>
        </row>
        <row r="46">
          <cell r="A46">
            <v>20125666</v>
          </cell>
          <cell r="B46" t="str">
            <v>Sandwich Spicy Chicken Katsu CBN</v>
          </cell>
          <cell r="C46" t="str">
            <v>H+3 dari produksi</v>
          </cell>
        </row>
        <row r="47">
          <cell r="A47">
            <v>20129205</v>
          </cell>
          <cell r="B47" t="str">
            <v>Sandwich Chicken Nanban CBN</v>
          </cell>
          <cell r="C47" t="str">
            <v>H+3 dari produksi</v>
          </cell>
        </row>
        <row r="48">
          <cell r="A48">
            <v>20091778</v>
          </cell>
          <cell r="B48" t="str">
            <v>Spaghetti Bolognese Spesial CBN</v>
          </cell>
          <cell r="C48" t="str">
            <v>H+3 dari produksi</v>
          </cell>
        </row>
        <row r="49">
          <cell r="A49">
            <v>20134551</v>
          </cell>
          <cell r="B49" t="str">
            <v>Buah Potong Apel Fuji CBN</v>
          </cell>
          <cell r="C49" t="str">
            <v>H+4 produksi</v>
          </cell>
        </row>
        <row r="50">
          <cell r="A50">
            <v>20134550</v>
          </cell>
          <cell r="B50" t="str">
            <v>Buah Potong Jambu Kristal CBN</v>
          </cell>
          <cell r="C50" t="str">
            <v>H+4 produksi</v>
          </cell>
        </row>
        <row r="51">
          <cell r="A51">
            <v>20139808</v>
          </cell>
          <cell r="B51" t="str">
            <v>Banana Coffee Dessert Cup CBN</v>
          </cell>
          <cell r="C51" t="str">
            <v>H+6 dari produksi</v>
          </cell>
        </row>
        <row r="52">
          <cell r="A52">
            <v>20139807</v>
          </cell>
          <cell r="B52" t="str">
            <v>Cheese Cookie Dessert Cup CBN</v>
          </cell>
          <cell r="C52" t="str">
            <v>H+6 dari produksi</v>
          </cell>
        </row>
        <row r="53">
          <cell r="A53">
            <v>20139545</v>
          </cell>
          <cell r="B53" t="str">
            <v>Choco Dessert Cup CBN</v>
          </cell>
          <cell r="C53" t="str">
            <v>H+6 dari produksi</v>
          </cell>
        </row>
        <row r="54">
          <cell r="A54">
            <v>20113630</v>
          </cell>
          <cell r="B54" t="str">
            <v>Vegetable CBN</v>
          </cell>
          <cell r="C54" t="str">
            <v>H+3 dari produksi</v>
          </cell>
        </row>
        <row r="55">
          <cell r="A55">
            <v>20113633</v>
          </cell>
          <cell r="B55" t="str">
            <v>Caramelized Onion CBN</v>
          </cell>
          <cell r="C55" t="str">
            <v>H+7 dari produksi</v>
          </cell>
        </row>
        <row r="56">
          <cell r="A56">
            <v>20113631</v>
          </cell>
          <cell r="B56" t="str">
            <v>Signature Sauce CBN</v>
          </cell>
          <cell r="C56" t="str">
            <v>H+8 dari produksi</v>
          </cell>
        </row>
        <row r="57">
          <cell r="A57">
            <v>20118295</v>
          </cell>
          <cell r="B57" t="str">
            <v>Pickle Timun CBN</v>
          </cell>
          <cell r="C57" t="str">
            <v>H+9 dari produksi</v>
          </cell>
        </row>
        <row r="58">
          <cell r="A58">
            <v>20109808</v>
          </cell>
          <cell r="B58" t="str">
            <v>Mix Mayonaise CBN</v>
          </cell>
          <cell r="C58" t="str">
            <v>H+10 dari produksi</v>
          </cell>
        </row>
        <row r="59">
          <cell r="A59">
            <v>20088411</v>
          </cell>
          <cell r="B59" t="str">
            <v>Fz Beef Yakiniku CBN</v>
          </cell>
          <cell r="C59" t="str">
            <v>H+180 dari cetak seal</v>
          </cell>
        </row>
        <row r="60">
          <cell r="A60">
            <v>20088410</v>
          </cell>
          <cell r="B60" t="str">
            <v>Fz Chicken Teriyaki CBN</v>
          </cell>
          <cell r="C60" t="str">
            <v>H+180 dari cetak seal</v>
          </cell>
        </row>
        <row r="61">
          <cell r="A61">
            <v>20088412</v>
          </cell>
          <cell r="B61" t="str">
            <v>Fz Daging Sapi Cincang CBN</v>
          </cell>
          <cell r="C61" t="str">
            <v>H+180 dari cetak seal</v>
          </cell>
        </row>
        <row r="62">
          <cell r="A62">
            <v>20026088</v>
          </cell>
          <cell r="B62" t="str">
            <v>Fz Nasi Bakar Ayam CBN</v>
          </cell>
          <cell r="C62" t="str">
            <v>H+180 dari cetak seal</v>
          </cell>
        </row>
        <row r="63">
          <cell r="A63">
            <v>20103568</v>
          </cell>
          <cell r="B63" t="str">
            <v>Fz Nasi Rendang Sambal Cabe Ijo CBN</v>
          </cell>
          <cell r="C63" t="str">
            <v>H+180 dari cetak seal</v>
          </cell>
        </row>
        <row r="64">
          <cell r="A64">
            <v>20141139</v>
          </cell>
          <cell r="B64" t="str">
            <v>Fz Nasi Ayam Gulai Padang CBN</v>
          </cell>
          <cell r="C64" t="str">
            <v>H+180 dari cetak seal</v>
          </cell>
        </row>
        <row r="65">
          <cell r="A65">
            <v>20124317</v>
          </cell>
          <cell r="B65" t="str">
            <v>Fz Nasi Daun Ayam Geprek Sambal Madura CBN</v>
          </cell>
          <cell r="C65" t="str">
            <v>H+180 dari cetak seal</v>
          </cell>
        </row>
        <row r="66">
          <cell r="A66">
            <v>20110288</v>
          </cell>
          <cell r="B66" t="str">
            <v>Fz Soto Daging Sapi CBN</v>
          </cell>
          <cell r="C66" t="str">
            <v>H+180 dari cetak seal</v>
          </cell>
        </row>
        <row r="67">
          <cell r="A67">
            <v>20077795</v>
          </cell>
          <cell r="B67" t="str">
            <v>Fz Rawon Daging Sapi CBN</v>
          </cell>
          <cell r="C67" t="str">
            <v>H+180 dari cetak seal</v>
          </cell>
        </row>
        <row r="68">
          <cell r="A68">
            <v>20141818</v>
          </cell>
          <cell r="B68" t="str">
            <v>Fz Nasi Ayam Kebuli Saikoro CBN</v>
          </cell>
          <cell r="C68" t="str">
            <v>H+180 dari cetak seal</v>
          </cell>
        </row>
        <row r="69">
          <cell r="A69">
            <v>20106087</v>
          </cell>
          <cell r="B69" t="str">
            <v>Fz Cwie Mie Ayam Malang CBN</v>
          </cell>
          <cell r="C69" t="str">
            <v>H+180 dari cetak seal</v>
          </cell>
        </row>
        <row r="70">
          <cell r="A70">
            <v>20106086</v>
          </cell>
          <cell r="B70" t="str">
            <v>Fz Bakso Campur Malang 5's CBN</v>
          </cell>
          <cell r="C70" t="str">
            <v>H+180 dari cetak seal</v>
          </cell>
        </row>
        <row r="71">
          <cell r="A71">
            <v>20133942</v>
          </cell>
          <cell r="B71" t="str">
            <v>Fz Nasi Putih CBN</v>
          </cell>
          <cell r="C71" t="str">
            <v>H+180 dari cetak seal</v>
          </cell>
        </row>
        <row r="72">
          <cell r="A72">
            <v>20136980</v>
          </cell>
          <cell r="B72" t="str">
            <v>FC Sambal Bawang 20 Gr CBN</v>
          </cell>
          <cell r="C72" t="str">
            <v>H+180 dari cetak seal</v>
          </cell>
        </row>
        <row r="73">
          <cell r="A73">
            <v>20137170</v>
          </cell>
          <cell r="B73" t="str">
            <v>FC Sambal Ijo 20 Gr CBN</v>
          </cell>
          <cell r="C73" t="str">
            <v>H+180 dari cetak seal</v>
          </cell>
        </row>
        <row r="74">
          <cell r="A74">
            <v>20129029</v>
          </cell>
          <cell r="B74" t="str">
            <v>Sambal Oden CBN</v>
          </cell>
          <cell r="C74" t="str">
            <v>H+180 dari cetak seal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1"/>
  <sheetViews>
    <sheetView tabSelected="1" workbookViewId="0">
      <selection activeCell="G2" sqref="G2"/>
    </sheetView>
  </sheetViews>
  <sheetFormatPr defaultColWidth="9" defaultRowHeight="15" outlineLevelCol="6"/>
  <cols>
    <col min="1" max="1" width="9.57142857142857"/>
    <col min="3" max="3" width="57.1428571428571" customWidth="1"/>
    <col min="6" max="6" width="23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20139808</v>
      </c>
      <c r="B2" t="s">
        <v>7</v>
      </c>
      <c r="C2" t="s">
        <v>8</v>
      </c>
      <c r="D2">
        <v>11700</v>
      </c>
      <c r="E2" t="s">
        <v>9</v>
      </c>
      <c r="F2" t="s">
        <v>10</v>
      </c>
      <c r="G2" t="str">
        <f xml:space="preserve">VLOOKUP(A2,[1]umur_produk!$A$2:$C$74,3,FALSE)</f>
        <v>H+6 dari produksi</v>
      </c>
    </row>
    <row r="3" spans="1:7">
      <c r="A3" s="1">
        <v>20136867</v>
      </c>
      <c r="B3" t="s">
        <v>11</v>
      </c>
      <c r="C3" t="s">
        <v>12</v>
      </c>
      <c r="D3">
        <v>16000</v>
      </c>
      <c r="E3" t="s">
        <v>9</v>
      </c>
      <c r="F3" t="s">
        <v>13</v>
      </c>
      <c r="G3" t="str">
        <f xml:space="preserve">VLOOKUP(A3,[1]umur_produk!$A$2:$C$74,3,FALSE)</f>
        <v>H+2 dari Produksi</v>
      </c>
    </row>
    <row r="4" spans="1:7">
      <c r="A4" s="1">
        <v>20135100</v>
      </c>
      <c r="B4" t="s">
        <v>14</v>
      </c>
      <c r="C4" t="s">
        <v>15</v>
      </c>
      <c r="D4">
        <v>19300</v>
      </c>
      <c r="E4" t="s">
        <v>16</v>
      </c>
      <c r="F4" t="s">
        <v>17</v>
      </c>
      <c r="G4" t="str">
        <f xml:space="preserve">VLOOKUP(A4,[1]umur_produk!$A$2:$C$74,3,FALSE)</f>
        <v>H+7 dari produksi</v>
      </c>
    </row>
    <row r="5" spans="1:7">
      <c r="A5" s="1">
        <v>20141390</v>
      </c>
      <c r="B5" t="s">
        <v>18</v>
      </c>
      <c r="C5" t="s">
        <v>19</v>
      </c>
      <c r="D5">
        <v>9300</v>
      </c>
      <c r="E5" t="s">
        <v>16</v>
      </c>
      <c r="F5" t="s">
        <v>20</v>
      </c>
      <c r="G5" t="str">
        <f xml:space="preserve">VLOOKUP(A5,[1]umur_produk!$A$2:$C$74,3,FALSE)</f>
        <v>H+7 dari produksi</v>
      </c>
    </row>
    <row r="6" spans="1:7">
      <c r="A6" s="1">
        <v>20078771</v>
      </c>
      <c r="B6" t="s">
        <v>21</v>
      </c>
      <c r="C6" t="s">
        <v>22</v>
      </c>
      <c r="D6">
        <v>9300</v>
      </c>
      <c r="E6" t="s">
        <v>16</v>
      </c>
      <c r="F6" t="s">
        <v>17</v>
      </c>
      <c r="G6" t="str">
        <f xml:space="preserve">VLOOKUP(A6,[1]umur_produk!$A$2:$C$74,3,FALSE)</f>
        <v>H+7 dari produksi</v>
      </c>
    </row>
    <row r="7" spans="1:7">
      <c r="A7" s="1">
        <v>20134551</v>
      </c>
      <c r="B7" t="s">
        <v>23</v>
      </c>
      <c r="C7" t="s">
        <v>24</v>
      </c>
      <c r="D7">
        <v>9500</v>
      </c>
      <c r="E7" t="s">
        <v>9</v>
      </c>
      <c r="F7" t="s">
        <v>10</v>
      </c>
      <c r="G7" t="str">
        <f xml:space="preserve">VLOOKUP(A7,[1]umur_produk!$A$2:$C$74,3,FALSE)</f>
        <v>H+4 produksi</v>
      </c>
    </row>
    <row r="8" spans="1:7">
      <c r="A8" s="1">
        <v>20134550</v>
      </c>
      <c r="B8" t="s">
        <v>25</v>
      </c>
      <c r="C8" t="s">
        <v>26</v>
      </c>
      <c r="D8">
        <v>7600</v>
      </c>
      <c r="E8" t="s">
        <v>9</v>
      </c>
      <c r="F8" t="s">
        <v>10</v>
      </c>
      <c r="G8" t="str">
        <f xml:space="preserve">VLOOKUP(A8,[1]umur_produk!$A$2:$C$74,3,FALSE)</f>
        <v>H+4 produksi</v>
      </c>
    </row>
    <row r="9" spans="1:7">
      <c r="A9" s="1">
        <v>20113627</v>
      </c>
      <c r="B9" t="s">
        <v>27</v>
      </c>
      <c r="C9" t="s">
        <v>28</v>
      </c>
      <c r="D9">
        <v>2700</v>
      </c>
      <c r="E9" t="s">
        <v>9</v>
      </c>
      <c r="F9" t="s">
        <v>29</v>
      </c>
      <c r="G9" t="s">
        <v>30</v>
      </c>
    </row>
    <row r="10" spans="1:7">
      <c r="A10" s="1">
        <v>20090684</v>
      </c>
      <c r="B10" t="s">
        <v>31</v>
      </c>
      <c r="C10" t="s">
        <v>32</v>
      </c>
      <c r="D10">
        <v>19300</v>
      </c>
      <c r="E10" t="s">
        <v>16</v>
      </c>
      <c r="F10" t="s">
        <v>17</v>
      </c>
      <c r="G10" t="str">
        <f xml:space="preserve">VLOOKUP(A10,[1]umur_produk!$A$2:$C$74,3,FALSE)</f>
        <v>H+7 dari produksi</v>
      </c>
    </row>
    <row r="11" spans="1:7">
      <c r="A11" s="1">
        <v>20088222</v>
      </c>
      <c r="B11" t="s">
        <v>33</v>
      </c>
      <c r="C11" t="s">
        <v>34</v>
      </c>
      <c r="D11">
        <v>19300</v>
      </c>
      <c r="E11" t="s">
        <v>16</v>
      </c>
      <c r="F11" t="s">
        <v>17</v>
      </c>
      <c r="G11" t="str">
        <f xml:space="preserve">VLOOKUP(A11,[1]umur_produk!$A$2:$C$74,3,FALSE)</f>
        <v>H+7 dari produksi</v>
      </c>
    </row>
    <row r="12" spans="1:7">
      <c r="A12" s="1">
        <v>20143030</v>
      </c>
      <c r="B12" t="s">
        <v>35</v>
      </c>
      <c r="C12" t="s">
        <v>36</v>
      </c>
      <c r="D12">
        <v>9900</v>
      </c>
      <c r="E12" t="s">
        <v>9</v>
      </c>
      <c r="F12" t="s">
        <v>10</v>
      </c>
      <c r="G12" t="s">
        <v>30</v>
      </c>
    </row>
    <row r="13" spans="1:7">
      <c r="A13" s="1">
        <v>20113633</v>
      </c>
      <c r="B13" t="s">
        <v>37</v>
      </c>
      <c r="C13" t="s">
        <v>38</v>
      </c>
      <c r="D13">
        <v>1700</v>
      </c>
      <c r="E13" t="s">
        <v>9</v>
      </c>
      <c r="F13" t="s">
        <v>29</v>
      </c>
      <c r="G13" t="str">
        <f xml:space="preserve">VLOOKUP(A13,[1]umur_produk!$A$2:$C$74,3,FALSE)</f>
        <v>H+7 dari produksi</v>
      </c>
    </row>
    <row r="14" spans="1:7">
      <c r="A14" s="1">
        <v>20139807</v>
      </c>
      <c r="B14" t="s">
        <v>39</v>
      </c>
      <c r="C14" t="s">
        <v>40</v>
      </c>
      <c r="D14">
        <v>11700</v>
      </c>
      <c r="E14" t="s">
        <v>9</v>
      </c>
      <c r="F14" t="s">
        <v>10</v>
      </c>
      <c r="G14" t="str">
        <f xml:space="preserve">VLOOKUP(A14,[1]umur_produk!$A$2:$C$74,3,FALSE)</f>
        <v>H+6 dari produksi</v>
      </c>
    </row>
    <row r="15" spans="1:7">
      <c r="A15" s="1">
        <v>20120505</v>
      </c>
      <c r="B15" t="s">
        <v>41</v>
      </c>
      <c r="C15" t="s">
        <v>42</v>
      </c>
      <c r="D15">
        <v>5300</v>
      </c>
      <c r="E15" t="s">
        <v>9</v>
      </c>
      <c r="F15" t="s">
        <v>29</v>
      </c>
      <c r="G15" t="s">
        <v>43</v>
      </c>
    </row>
    <row r="16" spans="1:7">
      <c r="A16" s="1">
        <v>20134097</v>
      </c>
      <c r="B16" t="s">
        <v>44</v>
      </c>
      <c r="C16" t="s">
        <v>45</v>
      </c>
      <c r="D16">
        <v>19600</v>
      </c>
      <c r="E16" t="s">
        <v>9</v>
      </c>
      <c r="F16" t="s">
        <v>46</v>
      </c>
      <c r="G16" t="str">
        <f xml:space="preserve">VLOOKUP(A16,[1]umur_produk!$A$2:$C$74,3,FALSE)</f>
        <v>H+3 dari produksi</v>
      </c>
    </row>
    <row r="17" spans="1:7">
      <c r="A17" s="1">
        <v>20143037</v>
      </c>
      <c r="B17" t="s">
        <v>47</v>
      </c>
      <c r="C17" t="s">
        <v>48</v>
      </c>
      <c r="D17">
        <v>9900</v>
      </c>
      <c r="E17" t="s">
        <v>9</v>
      </c>
      <c r="F17" t="s">
        <v>10</v>
      </c>
      <c r="G17" t="s">
        <v>30</v>
      </c>
    </row>
    <row r="18" spans="1:7">
      <c r="A18" s="1">
        <v>20139545</v>
      </c>
      <c r="B18" t="s">
        <v>49</v>
      </c>
      <c r="C18" t="s">
        <v>50</v>
      </c>
      <c r="D18">
        <v>11700</v>
      </c>
      <c r="E18" t="s">
        <v>9</v>
      </c>
      <c r="F18" t="s">
        <v>10</v>
      </c>
      <c r="G18" t="str">
        <f xml:space="preserve">VLOOKUP(A18,[1]umur_produk!$A$2:$C$74,3,FALSE)</f>
        <v>H+6 dari produksi</v>
      </c>
    </row>
    <row r="19" spans="1:7">
      <c r="A19" s="1">
        <v>20122602</v>
      </c>
      <c r="B19" t="s">
        <v>51</v>
      </c>
      <c r="C19" t="s">
        <v>52</v>
      </c>
      <c r="D19">
        <v>9300</v>
      </c>
      <c r="E19" t="s">
        <v>16</v>
      </c>
      <c r="F19" t="s">
        <v>20</v>
      </c>
      <c r="G19" t="s">
        <v>43</v>
      </c>
    </row>
    <row r="20" spans="1:7">
      <c r="A20" s="1">
        <v>20124180</v>
      </c>
      <c r="B20" t="s">
        <v>53</v>
      </c>
      <c r="C20" t="s">
        <v>54</v>
      </c>
      <c r="D20">
        <v>1</v>
      </c>
      <c r="E20" t="s">
        <v>16</v>
      </c>
      <c r="F20" t="s">
        <v>55</v>
      </c>
      <c r="G20" t="s">
        <v>43</v>
      </c>
    </row>
    <row r="21" spans="1:7">
      <c r="A21" s="1">
        <v>20124182</v>
      </c>
      <c r="B21" t="s">
        <v>56</v>
      </c>
      <c r="C21" t="s">
        <v>57</v>
      </c>
      <c r="D21">
        <v>1</v>
      </c>
      <c r="E21" t="s">
        <v>16</v>
      </c>
      <c r="F21" t="s">
        <v>55</v>
      </c>
      <c r="G21" t="s">
        <v>43</v>
      </c>
    </row>
    <row r="22" spans="1:7">
      <c r="A22" s="1">
        <v>20110797</v>
      </c>
      <c r="B22" t="s">
        <v>58</v>
      </c>
      <c r="C22" t="s">
        <v>59</v>
      </c>
      <c r="D22">
        <v>2800</v>
      </c>
      <c r="E22" t="s">
        <v>16</v>
      </c>
      <c r="F22" t="s">
        <v>55</v>
      </c>
      <c r="G22" t="s">
        <v>43</v>
      </c>
    </row>
    <row r="23" spans="1:7">
      <c r="A23" s="1">
        <v>20110796</v>
      </c>
      <c r="B23" t="s">
        <v>60</v>
      </c>
      <c r="C23" t="s">
        <v>61</v>
      </c>
      <c r="D23">
        <v>3100</v>
      </c>
      <c r="E23" t="s">
        <v>16</v>
      </c>
      <c r="F23" t="s">
        <v>55</v>
      </c>
      <c r="G23" t="s">
        <v>43</v>
      </c>
    </row>
    <row r="24" spans="1:7">
      <c r="A24" s="1">
        <v>20122939</v>
      </c>
      <c r="B24" t="s">
        <v>62</v>
      </c>
      <c r="C24" t="s">
        <v>63</v>
      </c>
      <c r="D24">
        <v>3100</v>
      </c>
      <c r="E24" t="s">
        <v>16</v>
      </c>
      <c r="F24" t="s">
        <v>55</v>
      </c>
      <c r="G24" t="s">
        <v>43</v>
      </c>
    </row>
    <row r="25" spans="1:7">
      <c r="A25" s="1">
        <v>20122940</v>
      </c>
      <c r="B25" t="s">
        <v>64</v>
      </c>
      <c r="C25" t="s">
        <v>65</v>
      </c>
      <c r="D25">
        <v>3400</v>
      </c>
      <c r="E25" t="s">
        <v>16</v>
      </c>
      <c r="F25" t="s">
        <v>55</v>
      </c>
      <c r="G25" t="s">
        <v>43</v>
      </c>
    </row>
    <row r="26" spans="1:7">
      <c r="A26" s="1">
        <v>20124181</v>
      </c>
      <c r="B26" t="s">
        <v>66</v>
      </c>
      <c r="C26" t="s">
        <v>67</v>
      </c>
      <c r="D26">
        <v>1</v>
      </c>
      <c r="E26" t="s">
        <v>16</v>
      </c>
      <c r="F26" t="s">
        <v>55</v>
      </c>
      <c r="G26" t="s">
        <v>43</v>
      </c>
    </row>
    <row r="27" spans="1:7">
      <c r="A27" s="1">
        <v>20110798</v>
      </c>
      <c r="B27" t="s">
        <v>68</v>
      </c>
      <c r="C27" t="s">
        <v>69</v>
      </c>
      <c r="D27">
        <v>3400</v>
      </c>
      <c r="E27" t="s">
        <v>16</v>
      </c>
      <c r="F27" t="s">
        <v>55</v>
      </c>
      <c r="G27" t="s">
        <v>43</v>
      </c>
    </row>
    <row r="28" spans="1:7">
      <c r="A28" s="1">
        <v>20141748</v>
      </c>
      <c r="B28" t="s">
        <v>70</v>
      </c>
      <c r="C28" t="s">
        <v>71</v>
      </c>
      <c r="D28">
        <v>2700</v>
      </c>
      <c r="E28" t="s">
        <v>16</v>
      </c>
      <c r="F28" t="s">
        <v>20</v>
      </c>
      <c r="G28" t="s">
        <v>43</v>
      </c>
    </row>
    <row r="29" spans="1:7">
      <c r="A29" s="1">
        <v>20141749</v>
      </c>
      <c r="B29" t="s">
        <v>72</v>
      </c>
      <c r="C29" t="s">
        <v>73</v>
      </c>
      <c r="D29">
        <v>3900</v>
      </c>
      <c r="E29" t="s">
        <v>16</v>
      </c>
      <c r="F29" t="s">
        <v>20</v>
      </c>
      <c r="G29" t="s">
        <v>43</v>
      </c>
    </row>
    <row r="30" spans="1:7">
      <c r="A30" s="1">
        <v>20088174</v>
      </c>
      <c r="B30" t="s">
        <v>74</v>
      </c>
      <c r="C30" t="s">
        <v>75</v>
      </c>
      <c r="D30">
        <v>6000</v>
      </c>
      <c r="E30" t="s">
        <v>76</v>
      </c>
      <c r="F30" t="s">
        <v>20</v>
      </c>
      <c r="G30" t="s">
        <v>43</v>
      </c>
    </row>
    <row r="31" spans="1:7">
      <c r="A31" s="1">
        <v>20136980</v>
      </c>
      <c r="B31" t="s">
        <v>77</v>
      </c>
      <c r="C31" t="s">
        <v>78</v>
      </c>
      <c r="D31">
        <v>2050</v>
      </c>
      <c r="E31" t="s">
        <v>16</v>
      </c>
      <c r="F31" t="s">
        <v>20</v>
      </c>
      <c r="G31" t="str">
        <f xml:space="preserve">VLOOKUP(A31,[1]umur_produk!$A$2:$C$74,3,FALSE)</f>
        <v>H+180 dari cetak seal</v>
      </c>
    </row>
    <row r="32" spans="1:7">
      <c r="A32" s="1">
        <v>20137170</v>
      </c>
      <c r="B32" t="s">
        <v>79</v>
      </c>
      <c r="C32" t="s">
        <v>80</v>
      </c>
      <c r="D32">
        <v>2050</v>
      </c>
      <c r="E32" t="s">
        <v>16</v>
      </c>
      <c r="F32" t="s">
        <v>20</v>
      </c>
      <c r="G32" t="s">
        <v>43</v>
      </c>
    </row>
    <row r="33" spans="1:7">
      <c r="A33" s="1">
        <v>20115325</v>
      </c>
      <c r="B33" t="s">
        <v>81</v>
      </c>
      <c r="C33" t="s">
        <v>82</v>
      </c>
      <c r="D33">
        <v>2000</v>
      </c>
      <c r="E33" t="s">
        <v>76</v>
      </c>
      <c r="F33" t="s">
        <v>20</v>
      </c>
      <c r="G33" t="s">
        <v>43</v>
      </c>
    </row>
    <row r="34" spans="1:7">
      <c r="A34" s="1">
        <v>20115324</v>
      </c>
      <c r="B34" t="s">
        <v>83</v>
      </c>
      <c r="C34" t="s">
        <v>84</v>
      </c>
      <c r="D34">
        <v>8300</v>
      </c>
      <c r="E34" t="s">
        <v>76</v>
      </c>
      <c r="F34" t="s">
        <v>20</v>
      </c>
      <c r="G34" t="s">
        <v>43</v>
      </c>
    </row>
    <row r="35" spans="1:7">
      <c r="A35" s="1">
        <v>20039823</v>
      </c>
      <c r="B35" t="s">
        <v>85</v>
      </c>
      <c r="C35" t="s">
        <v>86</v>
      </c>
      <c r="D35">
        <v>5800</v>
      </c>
      <c r="E35" t="s">
        <v>16</v>
      </c>
      <c r="F35" t="s">
        <v>20</v>
      </c>
      <c r="G35" t="s">
        <v>43</v>
      </c>
    </row>
    <row r="36" spans="1:7">
      <c r="A36" s="1">
        <v>20107545</v>
      </c>
      <c r="B36" t="s">
        <v>87</v>
      </c>
      <c r="C36" t="s">
        <v>88</v>
      </c>
      <c r="D36">
        <v>7000</v>
      </c>
      <c r="E36" t="s">
        <v>16</v>
      </c>
      <c r="F36" t="s">
        <v>20</v>
      </c>
      <c r="G36" t="s">
        <v>43</v>
      </c>
    </row>
    <row r="37" spans="1:7">
      <c r="A37" s="1">
        <v>20107506</v>
      </c>
      <c r="B37" t="s">
        <v>89</v>
      </c>
      <c r="C37" t="s">
        <v>90</v>
      </c>
      <c r="D37">
        <v>7000</v>
      </c>
      <c r="E37" t="s">
        <v>16</v>
      </c>
      <c r="F37" t="s">
        <v>20</v>
      </c>
      <c r="G37" t="s">
        <v>43</v>
      </c>
    </row>
    <row r="38" spans="1:7">
      <c r="A38" s="1">
        <v>20107507</v>
      </c>
      <c r="B38" t="s">
        <v>91</v>
      </c>
      <c r="C38" t="s">
        <v>92</v>
      </c>
      <c r="D38">
        <v>5800</v>
      </c>
      <c r="E38" t="s">
        <v>16</v>
      </c>
      <c r="F38" t="s">
        <v>20</v>
      </c>
      <c r="G38" t="s">
        <v>43</v>
      </c>
    </row>
    <row r="39" spans="1:7">
      <c r="A39" s="1">
        <v>20107546</v>
      </c>
      <c r="B39" t="s">
        <v>93</v>
      </c>
      <c r="C39" t="s">
        <v>94</v>
      </c>
      <c r="D39">
        <v>5800</v>
      </c>
      <c r="E39" t="s">
        <v>16</v>
      </c>
      <c r="F39" t="s">
        <v>20</v>
      </c>
      <c r="G39" t="s">
        <v>43</v>
      </c>
    </row>
    <row r="40" spans="1:7">
      <c r="A40" s="1">
        <v>20131257</v>
      </c>
      <c r="B40" t="s">
        <v>95</v>
      </c>
      <c r="C40" t="s">
        <v>96</v>
      </c>
      <c r="D40">
        <v>68600</v>
      </c>
      <c r="E40" t="s">
        <v>9</v>
      </c>
      <c r="F40" t="s">
        <v>29</v>
      </c>
      <c r="G40" t="s">
        <v>30</v>
      </c>
    </row>
    <row r="41" spans="1:7">
      <c r="A41" s="1">
        <v>20106086</v>
      </c>
      <c r="B41" t="s">
        <v>97</v>
      </c>
      <c r="C41" t="s">
        <v>98</v>
      </c>
      <c r="D41">
        <v>20500</v>
      </c>
      <c r="E41" t="s">
        <v>76</v>
      </c>
      <c r="F41" t="s">
        <v>99</v>
      </c>
      <c r="G41" t="str">
        <f xml:space="preserve">VLOOKUP(A41,[1]umur_produk!$A$2:$C$74,3,FALSE)</f>
        <v>H+180 dari cetak seal</v>
      </c>
    </row>
    <row r="42" spans="1:7">
      <c r="A42" s="1">
        <v>20088411</v>
      </c>
      <c r="B42" t="s">
        <v>100</v>
      </c>
      <c r="C42" t="s">
        <v>101</v>
      </c>
      <c r="D42">
        <v>24500</v>
      </c>
      <c r="E42" t="s">
        <v>9</v>
      </c>
      <c r="F42" t="s">
        <v>99</v>
      </c>
      <c r="G42" t="str">
        <f xml:space="preserve">VLOOKUP(A42,[1]umur_produk!$A$2:$C$74,3,FALSE)</f>
        <v>H+180 dari cetak seal</v>
      </c>
    </row>
    <row r="43" spans="1:7">
      <c r="A43" s="1">
        <v>20047326</v>
      </c>
      <c r="B43" t="s">
        <v>102</v>
      </c>
      <c r="C43" t="s">
        <v>103</v>
      </c>
      <c r="D43">
        <v>11900</v>
      </c>
      <c r="E43" t="s">
        <v>9</v>
      </c>
      <c r="F43" t="s">
        <v>99</v>
      </c>
      <c r="G43" t="s">
        <v>43</v>
      </c>
    </row>
    <row r="44" spans="1:7">
      <c r="A44" s="1">
        <v>20088410</v>
      </c>
      <c r="B44" t="s">
        <v>104</v>
      </c>
      <c r="C44" t="s">
        <v>105</v>
      </c>
      <c r="D44">
        <v>20500</v>
      </c>
      <c r="E44" t="s">
        <v>9</v>
      </c>
      <c r="F44" t="s">
        <v>99</v>
      </c>
      <c r="G44" t="str">
        <f xml:space="preserve">VLOOKUP(A44,[1]umur_produk!$A$2:$C$74,3,FALSE)</f>
        <v>H+180 dari cetak seal</v>
      </c>
    </row>
    <row r="45" spans="1:7">
      <c r="A45" s="1">
        <v>20106087</v>
      </c>
      <c r="B45" t="s">
        <v>106</v>
      </c>
      <c r="C45" t="s">
        <v>107</v>
      </c>
      <c r="D45">
        <v>22000</v>
      </c>
      <c r="E45" t="s">
        <v>76</v>
      </c>
      <c r="F45" t="s">
        <v>99</v>
      </c>
      <c r="G45" t="str">
        <f xml:space="preserve">VLOOKUP(A45,[1]umur_produk!$A$2:$C$74,3,FALSE)</f>
        <v>H+180 dari cetak seal</v>
      </c>
    </row>
    <row r="46" spans="1:7">
      <c r="A46" s="1">
        <v>20088412</v>
      </c>
      <c r="B46" t="s">
        <v>108</v>
      </c>
      <c r="C46" t="s">
        <v>109</v>
      </c>
      <c r="D46">
        <v>24500</v>
      </c>
      <c r="E46" t="s">
        <v>9</v>
      </c>
      <c r="F46" t="s">
        <v>99</v>
      </c>
      <c r="G46" t="s">
        <v>43</v>
      </c>
    </row>
    <row r="47" spans="1:7">
      <c r="A47" s="1">
        <v>20139474</v>
      </c>
      <c r="B47" t="s">
        <v>110</v>
      </c>
      <c r="C47" t="s">
        <v>111</v>
      </c>
      <c r="D47">
        <v>8700</v>
      </c>
      <c r="E47" t="s">
        <v>16</v>
      </c>
      <c r="F47" t="s">
        <v>20</v>
      </c>
      <c r="G47" t="s">
        <v>43</v>
      </c>
    </row>
    <row r="48" spans="1:7">
      <c r="A48" s="1">
        <v>20139478</v>
      </c>
      <c r="B48" t="s">
        <v>112</v>
      </c>
      <c r="C48" t="s">
        <v>113</v>
      </c>
      <c r="D48">
        <v>8700</v>
      </c>
      <c r="E48" t="s">
        <v>16</v>
      </c>
      <c r="F48" t="s">
        <v>20</v>
      </c>
      <c r="G48" t="s">
        <v>43</v>
      </c>
    </row>
    <row r="49" spans="1:7">
      <c r="A49" s="1">
        <v>20139479</v>
      </c>
      <c r="B49" t="s">
        <v>114</v>
      </c>
      <c r="C49" t="s">
        <v>115</v>
      </c>
      <c r="D49">
        <v>7300</v>
      </c>
      <c r="E49" t="s">
        <v>16</v>
      </c>
      <c r="F49" t="s">
        <v>20</v>
      </c>
      <c r="G49" t="s">
        <v>43</v>
      </c>
    </row>
    <row r="50" spans="1:7">
      <c r="A50" s="1">
        <v>20139477</v>
      </c>
      <c r="B50" t="s">
        <v>116</v>
      </c>
      <c r="C50" t="s">
        <v>117</v>
      </c>
      <c r="D50">
        <v>7300</v>
      </c>
      <c r="E50" t="s">
        <v>16</v>
      </c>
      <c r="F50" t="s">
        <v>20</v>
      </c>
      <c r="G50" t="s">
        <v>43</v>
      </c>
    </row>
    <row r="51" spans="1:7">
      <c r="A51" s="1">
        <v>20104082</v>
      </c>
      <c r="B51" t="s">
        <v>118</v>
      </c>
      <c r="C51" t="s">
        <v>119</v>
      </c>
      <c r="D51">
        <v>12500</v>
      </c>
      <c r="E51" t="s">
        <v>9</v>
      </c>
      <c r="F51" t="s">
        <v>99</v>
      </c>
      <c r="G51" t="s">
        <v>43</v>
      </c>
    </row>
    <row r="52" spans="1:7">
      <c r="A52" s="1">
        <v>20117269</v>
      </c>
      <c r="B52" t="s">
        <v>120</v>
      </c>
      <c r="C52" t="s">
        <v>121</v>
      </c>
      <c r="D52">
        <v>12500</v>
      </c>
      <c r="E52" t="s">
        <v>9</v>
      </c>
      <c r="F52" t="s">
        <v>99</v>
      </c>
      <c r="G52" t="s">
        <v>43</v>
      </c>
    </row>
    <row r="53" spans="1:7">
      <c r="A53" s="1">
        <v>20107048</v>
      </c>
      <c r="B53" t="s">
        <v>122</v>
      </c>
      <c r="C53" t="s">
        <v>123</v>
      </c>
      <c r="D53">
        <v>13800</v>
      </c>
      <c r="E53" t="s">
        <v>9</v>
      </c>
      <c r="F53" t="s">
        <v>99</v>
      </c>
      <c r="G53" t="s">
        <v>43</v>
      </c>
    </row>
    <row r="54" spans="1:7">
      <c r="A54" s="1">
        <v>20103572</v>
      </c>
      <c r="B54" t="s">
        <v>124</v>
      </c>
      <c r="C54" t="s">
        <v>125</v>
      </c>
      <c r="D54">
        <v>19400</v>
      </c>
      <c r="E54" t="s">
        <v>9</v>
      </c>
      <c r="F54" t="s">
        <v>99</v>
      </c>
      <c r="G54" t="s">
        <v>43</v>
      </c>
    </row>
    <row r="55" spans="1:7">
      <c r="A55" s="1">
        <v>20141139</v>
      </c>
      <c r="B55" t="s">
        <v>126</v>
      </c>
      <c r="C55" t="s">
        <v>127</v>
      </c>
      <c r="D55">
        <v>20500</v>
      </c>
      <c r="E55" t="s">
        <v>9</v>
      </c>
      <c r="F55" t="s">
        <v>20</v>
      </c>
      <c r="G55" t="str">
        <f xml:space="preserve">VLOOKUP(A55,[1]umur_produk!$A$2:$C$74,3,FALSE)</f>
        <v>H+180 dari cetak seal</v>
      </c>
    </row>
    <row r="56" spans="1:7">
      <c r="A56" s="1">
        <v>20141818</v>
      </c>
      <c r="B56" t="s">
        <v>128</v>
      </c>
      <c r="C56" t="s">
        <v>129</v>
      </c>
      <c r="D56">
        <v>20500</v>
      </c>
      <c r="E56" t="s">
        <v>9</v>
      </c>
      <c r="F56" t="s">
        <v>20</v>
      </c>
      <c r="G56" t="s">
        <v>43</v>
      </c>
    </row>
    <row r="57" spans="1:7">
      <c r="A57" s="1">
        <v>20103571</v>
      </c>
      <c r="B57" t="s">
        <v>130</v>
      </c>
      <c r="C57" t="s">
        <v>131</v>
      </c>
      <c r="D57">
        <v>20500</v>
      </c>
      <c r="E57" t="s">
        <v>9</v>
      </c>
      <c r="F57" t="s">
        <v>99</v>
      </c>
      <c r="G57" t="s">
        <v>43</v>
      </c>
    </row>
    <row r="58" spans="1:7">
      <c r="A58" s="1">
        <v>20026088</v>
      </c>
      <c r="B58" t="s">
        <v>132</v>
      </c>
      <c r="C58" t="s">
        <v>133</v>
      </c>
      <c r="D58">
        <v>20500</v>
      </c>
      <c r="E58" t="s">
        <v>9</v>
      </c>
      <c r="F58" t="s">
        <v>99</v>
      </c>
      <c r="G58" t="s">
        <v>43</v>
      </c>
    </row>
    <row r="59" spans="1:7">
      <c r="A59" s="1">
        <v>20107047</v>
      </c>
      <c r="B59" t="s">
        <v>134</v>
      </c>
      <c r="C59" t="s">
        <v>135</v>
      </c>
      <c r="D59">
        <v>19400</v>
      </c>
      <c r="E59" t="s">
        <v>9</v>
      </c>
      <c r="F59" t="s">
        <v>99</v>
      </c>
      <c r="G59" t="s">
        <v>43</v>
      </c>
    </row>
    <row r="60" spans="1:7">
      <c r="A60" s="1">
        <v>20125333</v>
      </c>
      <c r="B60" t="s">
        <v>136</v>
      </c>
      <c r="C60" t="s">
        <v>137</v>
      </c>
      <c r="D60">
        <v>1000</v>
      </c>
      <c r="E60" t="s">
        <v>9</v>
      </c>
      <c r="F60" t="s">
        <v>99</v>
      </c>
      <c r="G60" t="s">
        <v>43</v>
      </c>
    </row>
    <row r="61" spans="1:7">
      <c r="A61" s="1">
        <v>20119963</v>
      </c>
      <c r="B61" t="s">
        <v>138</v>
      </c>
      <c r="C61" t="s">
        <v>139</v>
      </c>
      <c r="D61">
        <v>23000</v>
      </c>
      <c r="E61" t="s">
        <v>9</v>
      </c>
      <c r="F61" t="s">
        <v>99</v>
      </c>
      <c r="G61" t="s">
        <v>43</v>
      </c>
    </row>
    <row r="62" spans="1:7">
      <c r="A62" s="1">
        <v>20124317</v>
      </c>
      <c r="B62" t="s">
        <v>140</v>
      </c>
      <c r="C62" t="s">
        <v>141</v>
      </c>
      <c r="D62">
        <v>11900</v>
      </c>
      <c r="E62" t="s">
        <v>9</v>
      </c>
      <c r="F62" t="s">
        <v>99</v>
      </c>
      <c r="G62" t="s">
        <v>43</v>
      </c>
    </row>
    <row r="63" spans="1:7">
      <c r="A63" s="1">
        <v>20141817</v>
      </c>
      <c r="B63" t="s">
        <v>142</v>
      </c>
      <c r="C63" t="s">
        <v>143</v>
      </c>
      <c r="D63">
        <v>16500</v>
      </c>
      <c r="E63" t="s">
        <v>9</v>
      </c>
      <c r="F63" t="s">
        <v>99</v>
      </c>
      <c r="G63" t="s">
        <v>43</v>
      </c>
    </row>
    <row r="64" spans="1:7">
      <c r="A64" s="1">
        <v>20137946</v>
      </c>
      <c r="B64" t="s">
        <v>144</v>
      </c>
      <c r="C64" t="s">
        <v>145</v>
      </c>
      <c r="D64">
        <v>16500</v>
      </c>
      <c r="E64" t="s">
        <v>9</v>
      </c>
      <c r="F64" t="s">
        <v>99</v>
      </c>
      <c r="G64" t="s">
        <v>43</v>
      </c>
    </row>
    <row r="65" spans="1:7">
      <c r="A65" s="1">
        <v>20133942</v>
      </c>
      <c r="B65" t="s">
        <v>146</v>
      </c>
      <c r="C65" t="s">
        <v>147</v>
      </c>
      <c r="D65">
        <v>4000</v>
      </c>
      <c r="E65" t="s">
        <v>9</v>
      </c>
      <c r="F65" t="s">
        <v>20</v>
      </c>
      <c r="G65" t="str">
        <f xml:space="preserve">VLOOKUP(A65,[1]umur_produk!$A$2:$C$74,3,FALSE)</f>
        <v>H+180 dari cetak seal</v>
      </c>
    </row>
    <row r="66" spans="1:7">
      <c r="A66" s="1">
        <v>20103568</v>
      </c>
      <c r="B66" t="s">
        <v>148</v>
      </c>
      <c r="C66" t="s">
        <v>149</v>
      </c>
      <c r="D66">
        <v>25100</v>
      </c>
      <c r="E66" t="s">
        <v>9</v>
      </c>
      <c r="F66" t="s">
        <v>99</v>
      </c>
      <c r="G66" t="str">
        <f xml:space="preserve">VLOOKUP(A66,[1]umur_produk!$A$2:$C$74,3,FALSE)</f>
        <v>H+180 dari cetak seal</v>
      </c>
    </row>
    <row r="67" spans="1:7">
      <c r="A67" s="1">
        <v>20077795</v>
      </c>
      <c r="B67" t="s">
        <v>150</v>
      </c>
      <c r="C67" t="s">
        <v>151</v>
      </c>
      <c r="D67">
        <v>24500</v>
      </c>
      <c r="E67" t="s">
        <v>9</v>
      </c>
      <c r="F67" t="s">
        <v>99</v>
      </c>
      <c r="G67" t="str">
        <f xml:space="preserve">VLOOKUP(A67,[1]umur_produk!$A$2:$C$74,3,FALSE)</f>
        <v>H+180 dari cetak seal</v>
      </c>
    </row>
    <row r="68" spans="1:7">
      <c r="A68" s="1">
        <v>20110288</v>
      </c>
      <c r="B68" t="s">
        <v>152</v>
      </c>
      <c r="C68" t="s">
        <v>153</v>
      </c>
      <c r="D68">
        <v>24500</v>
      </c>
      <c r="E68" t="s">
        <v>9</v>
      </c>
      <c r="F68" t="s">
        <v>99</v>
      </c>
      <c r="G68" t="str">
        <f xml:space="preserve">VLOOKUP(A68,[1]umur_produk!$A$2:$C$74,3,FALSE)</f>
        <v>H+180 dari cetak seal</v>
      </c>
    </row>
    <row r="69" spans="1:7">
      <c r="A69" s="1">
        <v>20121403</v>
      </c>
      <c r="B69" t="s">
        <v>154</v>
      </c>
      <c r="C69" t="s">
        <v>155</v>
      </c>
      <c r="D69">
        <v>21200</v>
      </c>
      <c r="E69" t="s">
        <v>9</v>
      </c>
      <c r="F69" t="s">
        <v>99</v>
      </c>
      <c r="G69" t="s">
        <v>43</v>
      </c>
    </row>
    <row r="70" spans="1:7">
      <c r="A70" s="1">
        <v>20140118</v>
      </c>
      <c r="B70" t="s">
        <v>156</v>
      </c>
      <c r="C70" t="s">
        <v>157</v>
      </c>
      <c r="D70">
        <v>7600</v>
      </c>
      <c r="E70" t="s">
        <v>16</v>
      </c>
      <c r="F70" t="s">
        <v>20</v>
      </c>
      <c r="G70" t="s">
        <v>43</v>
      </c>
    </row>
    <row r="71" spans="1:7">
      <c r="A71" s="1">
        <v>20137331</v>
      </c>
      <c r="B71" t="s">
        <v>158</v>
      </c>
      <c r="C71" t="s">
        <v>159</v>
      </c>
      <c r="D71">
        <v>4100</v>
      </c>
      <c r="E71" t="s">
        <v>16</v>
      </c>
      <c r="F71" t="s">
        <v>20</v>
      </c>
      <c r="G71" t="s">
        <v>43</v>
      </c>
    </row>
    <row r="72" spans="1:7">
      <c r="A72" s="1">
        <v>20139315</v>
      </c>
      <c r="B72" t="s">
        <v>160</v>
      </c>
      <c r="C72" t="s">
        <v>161</v>
      </c>
      <c r="D72">
        <v>13000</v>
      </c>
      <c r="E72" t="s">
        <v>9</v>
      </c>
      <c r="F72" t="s">
        <v>162</v>
      </c>
      <c r="G72" t="str">
        <f xml:space="preserve">VLOOKUP(A72,[1]umur_produk!$A$2:$C$74,3,FALSE)</f>
        <v>H+3 dari produksi</v>
      </c>
    </row>
    <row r="73" spans="1:7">
      <c r="A73" s="1">
        <v>20109808</v>
      </c>
      <c r="B73" t="s">
        <v>163</v>
      </c>
      <c r="C73" t="s">
        <v>164</v>
      </c>
      <c r="D73">
        <v>1500</v>
      </c>
      <c r="E73" t="s">
        <v>16</v>
      </c>
      <c r="F73" t="s">
        <v>29</v>
      </c>
      <c r="G73" t="str">
        <f xml:space="preserve">VLOOKUP(A73,[1]umur_produk!$A$2:$C$74,3,FALSE)</f>
        <v>H+10 dari produksi</v>
      </c>
    </row>
    <row r="74" spans="1:7">
      <c r="A74" s="1">
        <v>20122564</v>
      </c>
      <c r="B74" t="s">
        <v>165</v>
      </c>
      <c r="C74" t="s">
        <v>166</v>
      </c>
      <c r="D74">
        <v>11600</v>
      </c>
      <c r="E74" t="s">
        <v>16</v>
      </c>
      <c r="F74" t="s">
        <v>17</v>
      </c>
      <c r="G74" t="str">
        <f xml:space="preserve">VLOOKUP(A74,[1]umur_produk!$A$2:$C$74,3,FALSE)</f>
        <v>H+7 dari produksi</v>
      </c>
    </row>
    <row r="75" spans="1:7">
      <c r="A75" s="1">
        <v>20122561</v>
      </c>
      <c r="B75" t="s">
        <v>167</v>
      </c>
      <c r="C75" t="s">
        <v>168</v>
      </c>
      <c r="D75">
        <v>11600</v>
      </c>
      <c r="E75" t="s">
        <v>16</v>
      </c>
      <c r="F75" t="s">
        <v>17</v>
      </c>
      <c r="G75" t="str">
        <f xml:space="preserve">VLOOKUP(A75,[1]umur_produk!$A$2:$C$74,3,FALSE)</f>
        <v>H+7 dari produksi</v>
      </c>
    </row>
    <row r="76" spans="1:7">
      <c r="A76" s="1">
        <v>20143418</v>
      </c>
      <c r="B76" t="s">
        <v>169</v>
      </c>
      <c r="C76" t="s">
        <v>170</v>
      </c>
      <c r="D76">
        <v>12200</v>
      </c>
      <c r="E76" t="s">
        <v>16</v>
      </c>
      <c r="F76" t="s">
        <v>17</v>
      </c>
      <c r="G76" t="str">
        <f xml:space="preserve">VLOOKUP(A76,[1]umur_produk!$A$2:$C$74,3,FALSE)</f>
        <v>H+7 dari produksi</v>
      </c>
    </row>
    <row r="77" spans="1:7">
      <c r="A77" s="1">
        <v>20122563</v>
      </c>
      <c r="B77" t="s">
        <v>171</v>
      </c>
      <c r="C77" t="s">
        <v>172</v>
      </c>
      <c r="D77">
        <v>11600</v>
      </c>
      <c r="E77" t="s">
        <v>16</v>
      </c>
      <c r="F77" t="s">
        <v>17</v>
      </c>
      <c r="G77" t="str">
        <f xml:space="preserve">VLOOKUP(A77,[1]umur_produk!$A$2:$C$74,3,FALSE)</f>
        <v>H+7 dari produksi</v>
      </c>
    </row>
    <row r="78" spans="1:7">
      <c r="A78" s="1">
        <v>20087560</v>
      </c>
      <c r="B78" t="s">
        <v>173</v>
      </c>
      <c r="C78" t="s">
        <v>174</v>
      </c>
      <c r="D78">
        <v>15200</v>
      </c>
      <c r="E78" t="s">
        <v>9</v>
      </c>
      <c r="F78" t="s">
        <v>46</v>
      </c>
      <c r="G78" t="str">
        <f xml:space="preserve">VLOOKUP(A78,[1]umur_produk!$A$2:$C$74,3,FALSE)</f>
        <v>H+3 dari produksi</v>
      </c>
    </row>
    <row r="79" spans="1:7">
      <c r="A79" s="1">
        <v>20096109</v>
      </c>
      <c r="B79" t="s">
        <v>175</v>
      </c>
      <c r="C79" t="s">
        <v>176</v>
      </c>
      <c r="D79">
        <v>19000</v>
      </c>
      <c r="E79" t="s">
        <v>9</v>
      </c>
      <c r="F79" t="s">
        <v>46</v>
      </c>
      <c r="G79" t="str">
        <f xml:space="preserve">VLOOKUP(A79,[1]umur_produk!$A$2:$C$74,3,FALSE)</f>
        <v>H+3 dari produksi</v>
      </c>
    </row>
    <row r="80" spans="1:7">
      <c r="A80" s="1">
        <v>20087559</v>
      </c>
      <c r="B80" t="s">
        <v>177</v>
      </c>
      <c r="C80" t="s">
        <v>178</v>
      </c>
      <c r="D80">
        <v>15200</v>
      </c>
      <c r="E80" t="s">
        <v>9</v>
      </c>
      <c r="F80" t="s">
        <v>46</v>
      </c>
      <c r="G80" t="str">
        <f xml:space="preserve">VLOOKUP(A80,[1]umur_produk!$A$2:$C$74,3,FALSE)</f>
        <v>H+3 dari produksi</v>
      </c>
    </row>
    <row r="81" spans="1:7">
      <c r="A81" s="1">
        <v>20135602</v>
      </c>
      <c r="B81" t="s">
        <v>179</v>
      </c>
      <c r="C81" t="s">
        <v>180</v>
      </c>
      <c r="D81">
        <v>13000</v>
      </c>
      <c r="E81" t="s">
        <v>9</v>
      </c>
      <c r="F81" t="s">
        <v>46</v>
      </c>
      <c r="G81" t="str">
        <f xml:space="preserve">VLOOKUP(A81,[1]umur_produk!$A$2:$C$74,3,FALSE)</f>
        <v>H+3 dari produksi</v>
      </c>
    </row>
    <row r="82" spans="1:7">
      <c r="A82" s="1">
        <v>20129198</v>
      </c>
      <c r="B82" t="s">
        <v>181</v>
      </c>
      <c r="C82" t="s">
        <v>182</v>
      </c>
      <c r="D82">
        <v>19600</v>
      </c>
      <c r="E82" t="s">
        <v>9</v>
      </c>
      <c r="F82" t="s">
        <v>46</v>
      </c>
      <c r="G82" t="str">
        <f xml:space="preserve">VLOOKUP(A82,[1]umur_produk!$A$2:$C$74,3,FALSE)</f>
        <v>H+3 dari produksi</v>
      </c>
    </row>
    <row r="83" spans="1:7">
      <c r="A83" s="1">
        <v>20143032</v>
      </c>
      <c r="B83" t="s">
        <v>183</v>
      </c>
      <c r="C83" t="s">
        <v>184</v>
      </c>
      <c r="D83">
        <v>13000</v>
      </c>
      <c r="E83" t="s">
        <v>9</v>
      </c>
      <c r="F83" t="s">
        <v>20</v>
      </c>
      <c r="G83" t="str">
        <f xml:space="preserve">VLOOKUP(A83,[1]umur_produk!$A$2:$C$74,3,FALSE)</f>
        <v>H+3 dari produksi</v>
      </c>
    </row>
    <row r="84" spans="1:7">
      <c r="A84" s="1">
        <v>20139283</v>
      </c>
      <c r="B84" t="s">
        <v>185</v>
      </c>
      <c r="C84" t="s">
        <v>186</v>
      </c>
      <c r="D84">
        <v>15200</v>
      </c>
      <c r="E84" t="s">
        <v>9</v>
      </c>
      <c r="F84" t="s">
        <v>46</v>
      </c>
      <c r="G84" t="str">
        <f xml:space="preserve">VLOOKUP(A84,[1]umur_produk!$A$2:$C$74,3,FALSE)</f>
        <v>H+3 dari produksi</v>
      </c>
    </row>
    <row r="85" spans="1:7">
      <c r="A85" s="1">
        <v>20143075</v>
      </c>
      <c r="B85" t="s">
        <v>187</v>
      </c>
      <c r="C85" t="s">
        <v>188</v>
      </c>
      <c r="D85">
        <v>13000</v>
      </c>
      <c r="E85" t="s">
        <v>9</v>
      </c>
      <c r="F85" t="s">
        <v>46</v>
      </c>
      <c r="G85" t="str">
        <f xml:space="preserve">VLOOKUP(A85,[1]umur_produk!$A$2:$C$74,3,FALSE)</f>
        <v>H+3 dari produksi</v>
      </c>
    </row>
    <row r="86" spans="1:7">
      <c r="A86" s="1">
        <v>20138195</v>
      </c>
      <c r="B86" t="s">
        <v>189</v>
      </c>
      <c r="C86" t="s">
        <v>190</v>
      </c>
      <c r="D86">
        <v>13000</v>
      </c>
      <c r="E86" t="s">
        <v>9</v>
      </c>
      <c r="F86" t="s">
        <v>46</v>
      </c>
      <c r="G86" t="str">
        <f xml:space="preserve">VLOOKUP(A86,[1]umur_produk!$A$2:$C$74,3,FALSE)</f>
        <v>H+3 dari produksi</v>
      </c>
    </row>
    <row r="87" spans="1:7">
      <c r="A87" s="1">
        <v>20091777</v>
      </c>
      <c r="B87" t="s">
        <v>191</v>
      </c>
      <c r="C87" t="s">
        <v>192</v>
      </c>
      <c r="D87">
        <v>19600</v>
      </c>
      <c r="E87" t="s">
        <v>9</v>
      </c>
      <c r="F87" t="s">
        <v>46</v>
      </c>
      <c r="G87" t="str">
        <f xml:space="preserve">VLOOKUP(A87,[1]umur_produk!$A$2:$C$74,3,FALSE)</f>
        <v>H+3 dari produksi</v>
      </c>
    </row>
    <row r="88" spans="1:7">
      <c r="A88" s="1">
        <v>20139809</v>
      </c>
      <c r="B88" t="s">
        <v>193</v>
      </c>
      <c r="C88" t="s">
        <v>194</v>
      </c>
      <c r="D88">
        <v>20000</v>
      </c>
      <c r="E88" t="s">
        <v>9</v>
      </c>
      <c r="F88" t="s">
        <v>46</v>
      </c>
      <c r="G88" t="str">
        <f xml:space="preserve">VLOOKUP(A88,[1]umur_produk!$A$2:$C$74,3,FALSE)</f>
        <v>H+3 dari produksi</v>
      </c>
    </row>
    <row r="89" spans="1:7">
      <c r="A89" s="1">
        <v>20136332</v>
      </c>
      <c r="B89" t="s">
        <v>195</v>
      </c>
      <c r="C89" t="s">
        <v>196</v>
      </c>
      <c r="D89">
        <v>13000</v>
      </c>
      <c r="E89" t="s">
        <v>9</v>
      </c>
      <c r="F89" t="s">
        <v>46</v>
      </c>
      <c r="G89" t="str">
        <f xml:space="preserve">VLOOKUP(A89,[1]umur_produk!$A$2:$C$74,3,FALSE)</f>
        <v>H+3 dari produksi</v>
      </c>
    </row>
    <row r="90" spans="1:7">
      <c r="A90" s="1">
        <v>20028582</v>
      </c>
      <c r="B90" t="s">
        <v>197</v>
      </c>
      <c r="C90" t="s">
        <v>198</v>
      </c>
      <c r="D90">
        <v>13000</v>
      </c>
      <c r="E90" t="s">
        <v>9</v>
      </c>
      <c r="F90" t="s">
        <v>46</v>
      </c>
      <c r="G90" t="str">
        <f xml:space="preserve">VLOOKUP(A90,[1]umur_produk!$A$2:$C$74,3,FALSE)</f>
        <v>H+3 dari produksi</v>
      </c>
    </row>
    <row r="91" spans="1:7">
      <c r="A91" s="1">
        <v>20137856</v>
      </c>
      <c r="B91" t="s">
        <v>199</v>
      </c>
      <c r="C91" t="s">
        <v>200</v>
      </c>
      <c r="D91">
        <v>9300</v>
      </c>
      <c r="E91" t="s">
        <v>9</v>
      </c>
      <c r="F91" t="s">
        <v>201</v>
      </c>
      <c r="G91" t="str">
        <f xml:space="preserve">VLOOKUP(A91,[1]umur_produk!$A$2:$C$74,3,FALSE)</f>
        <v>H+2 dari Produksi</v>
      </c>
    </row>
    <row r="92" spans="1:7">
      <c r="A92" s="1">
        <v>20104545</v>
      </c>
      <c r="B92" t="s">
        <v>202</v>
      </c>
      <c r="C92" t="s">
        <v>203</v>
      </c>
      <c r="D92">
        <v>9300</v>
      </c>
      <c r="E92" t="s">
        <v>9</v>
      </c>
      <c r="F92" t="s">
        <v>201</v>
      </c>
      <c r="G92" t="str">
        <f xml:space="preserve">VLOOKUP(A92,[1]umur_produk!$A$2:$C$74,3,FALSE)</f>
        <v>H+2 dari Produksi</v>
      </c>
    </row>
    <row r="93" spans="1:7">
      <c r="A93" s="1">
        <v>20052334</v>
      </c>
      <c r="B93" t="s">
        <v>204</v>
      </c>
      <c r="C93" t="s">
        <v>205</v>
      </c>
      <c r="D93">
        <v>9300</v>
      </c>
      <c r="E93" t="s">
        <v>9</v>
      </c>
      <c r="F93" t="s">
        <v>201</v>
      </c>
      <c r="G93" t="str">
        <f xml:space="preserve">VLOOKUP(A93,[1]umur_produk!$A$2:$C$74,3,FALSE)</f>
        <v>H+2 dari Produksi</v>
      </c>
    </row>
    <row r="94" spans="1:7">
      <c r="A94" s="1">
        <v>20096377</v>
      </c>
      <c r="B94" t="s">
        <v>206</v>
      </c>
      <c r="C94" t="s">
        <v>207</v>
      </c>
      <c r="D94">
        <v>9300</v>
      </c>
      <c r="E94" t="s">
        <v>9</v>
      </c>
      <c r="F94" t="s">
        <v>201</v>
      </c>
      <c r="G94" t="str">
        <f xml:space="preserve">VLOOKUP(A94,[1]umur_produk!$A$2:$C$74,3,FALSE)</f>
        <v>H+2 dari Produksi</v>
      </c>
    </row>
    <row r="95" spans="1:7">
      <c r="A95" s="1">
        <v>20117271</v>
      </c>
      <c r="B95" t="s">
        <v>208</v>
      </c>
      <c r="C95" t="s">
        <v>209</v>
      </c>
      <c r="D95">
        <v>12900</v>
      </c>
      <c r="E95" t="s">
        <v>9</v>
      </c>
      <c r="F95" t="s">
        <v>201</v>
      </c>
      <c r="G95" t="str">
        <f xml:space="preserve">VLOOKUP(A95,[1]umur_produk!$A$2:$C$74,3,FALSE)</f>
        <v>H+2 dari Produksi</v>
      </c>
    </row>
    <row r="96" spans="1:7">
      <c r="A96" s="1">
        <v>20101166</v>
      </c>
      <c r="B96" t="s">
        <v>210</v>
      </c>
      <c r="C96" t="s">
        <v>211</v>
      </c>
      <c r="D96">
        <v>12900</v>
      </c>
      <c r="E96" t="s">
        <v>9</v>
      </c>
      <c r="F96" t="s">
        <v>201</v>
      </c>
      <c r="G96" t="str">
        <f xml:space="preserve">VLOOKUP(A96,[1]umur_produk!$A$2:$C$74,3,FALSE)</f>
        <v>H+2 dari Produksi</v>
      </c>
    </row>
    <row r="97" spans="1:7">
      <c r="A97" s="1">
        <v>20090689</v>
      </c>
      <c r="B97" t="s">
        <v>212</v>
      </c>
      <c r="C97" t="s">
        <v>213</v>
      </c>
      <c r="D97">
        <v>12900</v>
      </c>
      <c r="E97" t="s">
        <v>9</v>
      </c>
      <c r="F97" t="s">
        <v>201</v>
      </c>
      <c r="G97" t="str">
        <f xml:space="preserve">VLOOKUP(A97,[1]umur_produk!$A$2:$C$74,3,FALSE)</f>
        <v>H+2 dari Produksi</v>
      </c>
    </row>
    <row r="98" spans="1:7">
      <c r="A98" s="1">
        <v>20136864</v>
      </c>
      <c r="B98" t="s">
        <v>214</v>
      </c>
      <c r="C98" t="s">
        <v>215</v>
      </c>
      <c r="D98">
        <v>9300</v>
      </c>
      <c r="E98" t="s">
        <v>9</v>
      </c>
      <c r="F98" t="s">
        <v>201</v>
      </c>
      <c r="G98" t="str">
        <f xml:space="preserve">VLOOKUP(A98,[1]umur_produk!$A$2:$C$74,3,FALSE)</f>
        <v>H+2 dari Produksi</v>
      </c>
    </row>
    <row r="99" spans="1:7">
      <c r="A99" s="1">
        <v>20136061</v>
      </c>
      <c r="B99" t="s">
        <v>216</v>
      </c>
      <c r="C99" t="s">
        <v>217</v>
      </c>
      <c r="D99">
        <v>9300</v>
      </c>
      <c r="E99" t="s">
        <v>9</v>
      </c>
      <c r="F99" t="s">
        <v>201</v>
      </c>
      <c r="G99" t="s">
        <v>218</v>
      </c>
    </row>
    <row r="100" spans="1:7">
      <c r="A100" s="1">
        <v>20087034</v>
      </c>
      <c r="B100" t="s">
        <v>219</v>
      </c>
      <c r="C100" t="s">
        <v>220</v>
      </c>
      <c r="D100">
        <v>9300</v>
      </c>
      <c r="E100" t="s">
        <v>9</v>
      </c>
      <c r="F100" t="s">
        <v>201</v>
      </c>
      <c r="G100" t="str">
        <f xml:space="preserve">VLOOKUP(A100,[1]umur_produk!$A$2:$C$74,3,FALSE)</f>
        <v>H+2 dari Produksi</v>
      </c>
    </row>
    <row r="101" spans="1:7">
      <c r="A101" s="1">
        <v>20121402</v>
      </c>
      <c r="B101" t="s">
        <v>221</v>
      </c>
      <c r="C101" t="s">
        <v>222</v>
      </c>
      <c r="D101">
        <v>12900</v>
      </c>
      <c r="E101" t="s">
        <v>9</v>
      </c>
      <c r="F101" t="s">
        <v>201</v>
      </c>
      <c r="G101" t="str">
        <f xml:space="preserve">VLOOKUP(A101,[1]umur_produk!$A$2:$C$74,3,FALSE)</f>
        <v>H+2 dari Produksi</v>
      </c>
    </row>
    <row r="102" spans="1:7">
      <c r="A102" s="1">
        <v>20052330</v>
      </c>
      <c r="B102" t="s">
        <v>223</v>
      </c>
      <c r="C102" t="s">
        <v>224</v>
      </c>
      <c r="D102">
        <v>9300</v>
      </c>
      <c r="E102" t="s">
        <v>9</v>
      </c>
      <c r="F102" t="s">
        <v>201</v>
      </c>
      <c r="G102" t="str">
        <f xml:space="preserve">VLOOKUP(A102,[1]umur_produk!$A$2:$C$74,3,FALSE)</f>
        <v>H+2 dari Produksi</v>
      </c>
    </row>
    <row r="103" spans="1:7">
      <c r="A103" s="1">
        <v>20052331</v>
      </c>
      <c r="B103" t="s">
        <v>225</v>
      </c>
      <c r="C103" t="s">
        <v>226</v>
      </c>
      <c r="D103">
        <v>9300</v>
      </c>
      <c r="E103" t="s">
        <v>9</v>
      </c>
      <c r="F103" t="s">
        <v>201</v>
      </c>
      <c r="G103" t="str">
        <f xml:space="preserve">VLOOKUP(A103,[1]umur_produk!$A$2:$C$74,3,FALSE)</f>
        <v>H+2 dari Produksi</v>
      </c>
    </row>
    <row r="104" spans="1:7">
      <c r="A104" s="1">
        <v>20118295</v>
      </c>
      <c r="B104" t="s">
        <v>227</v>
      </c>
      <c r="C104" t="s">
        <v>228</v>
      </c>
      <c r="D104">
        <v>950</v>
      </c>
      <c r="E104" t="s">
        <v>9</v>
      </c>
      <c r="F104" t="s">
        <v>29</v>
      </c>
      <c r="G104" t="str">
        <f xml:space="preserve">VLOOKUP(A104,[1]umur_produk!$A$2:$C$74,3,FALSE)</f>
        <v>H+9 dari produksi</v>
      </c>
    </row>
    <row r="105" spans="1:7">
      <c r="A105" s="1">
        <v>20132812</v>
      </c>
      <c r="B105" t="s">
        <v>229</v>
      </c>
      <c r="C105" t="s">
        <v>230</v>
      </c>
      <c r="D105">
        <v>17200</v>
      </c>
      <c r="E105" t="s">
        <v>16</v>
      </c>
      <c r="F105" t="s">
        <v>231</v>
      </c>
      <c r="G105" t="s">
        <v>43</v>
      </c>
    </row>
    <row r="106" spans="1:7">
      <c r="A106" s="1">
        <v>20100405</v>
      </c>
      <c r="B106" t="s">
        <v>232</v>
      </c>
      <c r="C106" t="s">
        <v>233</v>
      </c>
      <c r="D106">
        <v>15300</v>
      </c>
      <c r="E106" t="s">
        <v>16</v>
      </c>
      <c r="F106" t="s">
        <v>231</v>
      </c>
      <c r="G106" t="s">
        <v>43</v>
      </c>
    </row>
    <row r="107" spans="1:7">
      <c r="A107" s="1">
        <v>20132810</v>
      </c>
      <c r="B107" t="s">
        <v>234</v>
      </c>
      <c r="C107" t="s">
        <v>235</v>
      </c>
      <c r="D107">
        <v>17200</v>
      </c>
      <c r="E107" t="s">
        <v>16</v>
      </c>
      <c r="F107" t="s">
        <v>231</v>
      </c>
      <c r="G107" t="s">
        <v>43</v>
      </c>
    </row>
    <row r="108" spans="1:7">
      <c r="A108" s="1">
        <v>20071839</v>
      </c>
      <c r="B108" t="s">
        <v>236</v>
      </c>
      <c r="C108" t="s">
        <v>237</v>
      </c>
      <c r="D108">
        <v>15300</v>
      </c>
      <c r="E108" t="s">
        <v>16</v>
      </c>
      <c r="F108" t="s">
        <v>231</v>
      </c>
      <c r="G108" t="s">
        <v>43</v>
      </c>
    </row>
    <row r="109" spans="1:7">
      <c r="A109" s="1">
        <v>20140831</v>
      </c>
      <c r="B109" t="s">
        <v>238</v>
      </c>
      <c r="C109" t="s">
        <v>239</v>
      </c>
      <c r="D109">
        <v>21100</v>
      </c>
      <c r="E109" t="s">
        <v>16</v>
      </c>
      <c r="F109" t="s">
        <v>231</v>
      </c>
      <c r="G109" t="s">
        <v>43</v>
      </c>
    </row>
    <row r="110" spans="1:7">
      <c r="A110" s="1">
        <v>20071841</v>
      </c>
      <c r="B110" t="s">
        <v>240</v>
      </c>
      <c r="C110" t="s">
        <v>241</v>
      </c>
      <c r="D110">
        <v>15300</v>
      </c>
      <c r="E110" t="s">
        <v>16</v>
      </c>
      <c r="F110" t="s">
        <v>231</v>
      </c>
      <c r="G110" t="s">
        <v>43</v>
      </c>
    </row>
    <row r="111" spans="1:7">
      <c r="A111" s="1">
        <v>20140825</v>
      </c>
      <c r="B111" t="s">
        <v>242</v>
      </c>
      <c r="C111" t="s">
        <v>243</v>
      </c>
      <c r="D111">
        <v>21100</v>
      </c>
      <c r="E111" t="s">
        <v>16</v>
      </c>
      <c r="F111" t="s">
        <v>231</v>
      </c>
      <c r="G111" t="s">
        <v>43</v>
      </c>
    </row>
    <row r="112" spans="1:7">
      <c r="A112" s="1">
        <v>20137326</v>
      </c>
      <c r="B112" t="s">
        <v>244</v>
      </c>
      <c r="C112" t="s">
        <v>245</v>
      </c>
      <c r="D112">
        <v>19100</v>
      </c>
      <c r="E112" t="s">
        <v>9</v>
      </c>
      <c r="F112" t="s">
        <v>246</v>
      </c>
      <c r="G112" t="s">
        <v>247</v>
      </c>
    </row>
    <row r="113" spans="1:7">
      <c r="A113" s="1">
        <v>20137327</v>
      </c>
      <c r="B113" t="s">
        <v>248</v>
      </c>
      <c r="C113" t="s">
        <v>249</v>
      </c>
      <c r="D113">
        <v>11900</v>
      </c>
      <c r="E113" t="s">
        <v>9</v>
      </c>
      <c r="F113" t="s">
        <v>246</v>
      </c>
      <c r="G113" t="s">
        <v>43</v>
      </c>
    </row>
    <row r="114" spans="1:7">
      <c r="A114" s="1">
        <v>20137320</v>
      </c>
      <c r="B114" t="s">
        <v>250</v>
      </c>
      <c r="C114" t="s">
        <v>251</v>
      </c>
      <c r="D114">
        <v>11900</v>
      </c>
      <c r="E114" t="s">
        <v>9</v>
      </c>
      <c r="F114" t="s">
        <v>246</v>
      </c>
      <c r="G114" t="s">
        <v>43</v>
      </c>
    </row>
    <row r="115" spans="1:7">
      <c r="A115" s="1">
        <v>20139789</v>
      </c>
      <c r="B115" t="s">
        <v>252</v>
      </c>
      <c r="C115" t="s">
        <v>253</v>
      </c>
      <c r="D115">
        <v>13000</v>
      </c>
      <c r="E115" t="s">
        <v>9</v>
      </c>
      <c r="F115" t="s">
        <v>246</v>
      </c>
      <c r="G115" t="s">
        <v>247</v>
      </c>
    </row>
    <row r="116" spans="1:7">
      <c r="A116" s="1">
        <v>20137318</v>
      </c>
      <c r="B116" t="s">
        <v>254</v>
      </c>
      <c r="C116" t="s">
        <v>255</v>
      </c>
      <c r="D116">
        <v>13000</v>
      </c>
      <c r="E116" t="s">
        <v>9</v>
      </c>
      <c r="F116" t="s">
        <v>246</v>
      </c>
      <c r="G116" t="s">
        <v>247</v>
      </c>
    </row>
    <row r="117" spans="1:7">
      <c r="A117" s="1">
        <v>20137317</v>
      </c>
      <c r="B117" t="s">
        <v>256</v>
      </c>
      <c r="C117" t="s">
        <v>257</v>
      </c>
      <c r="D117">
        <v>19600</v>
      </c>
      <c r="E117" t="s">
        <v>9</v>
      </c>
      <c r="F117" t="s">
        <v>246</v>
      </c>
      <c r="G117" t="s">
        <v>247</v>
      </c>
    </row>
    <row r="118" spans="1:7">
      <c r="A118" s="1">
        <v>20144203</v>
      </c>
      <c r="B118" t="s">
        <v>258</v>
      </c>
      <c r="C118" t="s">
        <v>259</v>
      </c>
      <c r="D118">
        <v>13000</v>
      </c>
      <c r="E118" t="s">
        <v>9</v>
      </c>
      <c r="F118" t="s">
        <v>246</v>
      </c>
      <c r="G118" t="s">
        <v>247</v>
      </c>
    </row>
    <row r="119" spans="1:7">
      <c r="A119" s="1">
        <v>20138865</v>
      </c>
      <c r="B119" t="s">
        <v>260</v>
      </c>
      <c r="C119" t="s">
        <v>261</v>
      </c>
      <c r="D119">
        <v>15200</v>
      </c>
      <c r="E119" t="s">
        <v>9</v>
      </c>
      <c r="F119" t="s">
        <v>246</v>
      </c>
      <c r="G119" t="s">
        <v>247</v>
      </c>
    </row>
    <row r="120" spans="1:7">
      <c r="A120" s="1">
        <v>20139804</v>
      </c>
      <c r="B120" t="s">
        <v>262</v>
      </c>
      <c r="C120" t="s">
        <v>263</v>
      </c>
      <c r="D120">
        <v>15200</v>
      </c>
      <c r="E120" t="s">
        <v>9</v>
      </c>
      <c r="F120" t="s">
        <v>29</v>
      </c>
      <c r="G120" t="s">
        <v>247</v>
      </c>
    </row>
    <row r="121" spans="1:7">
      <c r="A121" s="1">
        <v>20144279</v>
      </c>
      <c r="B121" t="s">
        <v>264</v>
      </c>
      <c r="C121" t="s">
        <v>265</v>
      </c>
      <c r="D121">
        <v>13000</v>
      </c>
      <c r="E121" t="s">
        <v>9</v>
      </c>
      <c r="F121" t="s">
        <v>246</v>
      </c>
      <c r="G121" t="s">
        <v>247</v>
      </c>
    </row>
    <row r="122" spans="1:7">
      <c r="A122" s="1">
        <v>20139803</v>
      </c>
      <c r="B122" t="s">
        <v>266</v>
      </c>
      <c r="C122" t="s">
        <v>267</v>
      </c>
      <c r="D122">
        <v>13000</v>
      </c>
      <c r="E122" t="s">
        <v>9</v>
      </c>
      <c r="F122" t="s">
        <v>246</v>
      </c>
      <c r="G122" t="s">
        <v>247</v>
      </c>
    </row>
    <row r="123" spans="1:7">
      <c r="A123" s="1">
        <v>20137329</v>
      </c>
      <c r="B123" t="s">
        <v>268</v>
      </c>
      <c r="C123" t="s">
        <v>269</v>
      </c>
      <c r="D123">
        <v>13000</v>
      </c>
      <c r="E123" t="s">
        <v>9</v>
      </c>
      <c r="F123" t="s">
        <v>246</v>
      </c>
      <c r="G123" t="s">
        <v>247</v>
      </c>
    </row>
    <row r="124" spans="1:7">
      <c r="A124" s="1">
        <v>20137330</v>
      </c>
      <c r="B124" t="s">
        <v>270</v>
      </c>
      <c r="C124" t="s">
        <v>271</v>
      </c>
      <c r="D124">
        <v>13000</v>
      </c>
      <c r="E124" t="s">
        <v>9</v>
      </c>
      <c r="F124" t="s">
        <v>246</v>
      </c>
      <c r="G124" t="s">
        <v>247</v>
      </c>
    </row>
    <row r="125" spans="1:7">
      <c r="A125" s="1">
        <v>20138861</v>
      </c>
      <c r="B125" t="s">
        <v>272</v>
      </c>
      <c r="C125" t="s">
        <v>273</v>
      </c>
      <c r="D125">
        <v>13000</v>
      </c>
      <c r="E125" t="s">
        <v>9</v>
      </c>
      <c r="F125" t="s">
        <v>246</v>
      </c>
      <c r="G125" t="s">
        <v>247</v>
      </c>
    </row>
    <row r="126" spans="1:7">
      <c r="A126" s="1">
        <v>20138866</v>
      </c>
      <c r="B126" t="s">
        <v>274</v>
      </c>
      <c r="C126" t="s">
        <v>275</v>
      </c>
      <c r="D126">
        <v>9300</v>
      </c>
      <c r="E126" t="s">
        <v>9</v>
      </c>
      <c r="F126" t="s">
        <v>246</v>
      </c>
      <c r="G126" t="s">
        <v>247</v>
      </c>
    </row>
    <row r="127" spans="1:7">
      <c r="A127" s="1">
        <v>20138864</v>
      </c>
      <c r="B127" t="s">
        <v>276</v>
      </c>
      <c r="C127" t="s">
        <v>277</v>
      </c>
      <c r="D127">
        <v>9300</v>
      </c>
      <c r="E127" t="s">
        <v>9</v>
      </c>
      <c r="F127" t="s">
        <v>246</v>
      </c>
      <c r="G127" t="s">
        <v>247</v>
      </c>
    </row>
    <row r="128" spans="1:7">
      <c r="A128" s="1">
        <v>20137440</v>
      </c>
      <c r="B128" t="s">
        <v>278</v>
      </c>
      <c r="C128" t="s">
        <v>279</v>
      </c>
      <c r="D128">
        <v>230000</v>
      </c>
      <c r="E128" t="s">
        <v>9</v>
      </c>
      <c r="F128" t="s">
        <v>246</v>
      </c>
      <c r="G128" t="s">
        <v>247</v>
      </c>
    </row>
    <row r="129" spans="1:7">
      <c r="A129" s="1">
        <v>20137686</v>
      </c>
      <c r="B129" t="s">
        <v>280</v>
      </c>
      <c r="C129" t="s">
        <v>281</v>
      </c>
      <c r="D129">
        <v>54000</v>
      </c>
      <c r="E129" t="s">
        <v>9</v>
      </c>
      <c r="F129" t="s">
        <v>246</v>
      </c>
      <c r="G129" t="s">
        <v>247</v>
      </c>
    </row>
    <row r="130" spans="1:7">
      <c r="A130" s="1">
        <v>20141450</v>
      </c>
      <c r="B130" t="s">
        <v>282</v>
      </c>
      <c r="C130" t="s">
        <v>283</v>
      </c>
      <c r="D130">
        <v>100000</v>
      </c>
      <c r="E130" t="s">
        <v>76</v>
      </c>
      <c r="F130" t="s">
        <v>20</v>
      </c>
      <c r="G130" t="s">
        <v>247</v>
      </c>
    </row>
    <row r="131" spans="1:7">
      <c r="A131" s="1">
        <v>20141449</v>
      </c>
      <c r="B131" t="s">
        <v>284</v>
      </c>
      <c r="C131" t="s">
        <v>285</v>
      </c>
      <c r="D131">
        <v>130000</v>
      </c>
      <c r="E131" t="s">
        <v>9</v>
      </c>
      <c r="F131" t="s">
        <v>246</v>
      </c>
      <c r="G131" t="s">
        <v>247</v>
      </c>
    </row>
    <row r="132" spans="1:7">
      <c r="A132" s="1">
        <v>20141451</v>
      </c>
      <c r="B132" t="s">
        <v>286</v>
      </c>
      <c r="C132" t="s">
        <v>287</v>
      </c>
      <c r="D132">
        <v>115000</v>
      </c>
      <c r="E132" t="s">
        <v>9</v>
      </c>
      <c r="F132" t="s">
        <v>246</v>
      </c>
      <c r="G132" t="s">
        <v>247</v>
      </c>
    </row>
    <row r="133" spans="1:7">
      <c r="A133" s="1">
        <v>20138037</v>
      </c>
      <c r="B133" t="s">
        <v>288</v>
      </c>
      <c r="C133" t="s">
        <v>289</v>
      </c>
      <c r="D133">
        <v>15500</v>
      </c>
      <c r="E133" t="s">
        <v>76</v>
      </c>
      <c r="F133" t="s">
        <v>246</v>
      </c>
      <c r="G133" t="s">
        <v>247</v>
      </c>
    </row>
    <row r="134" spans="1:7">
      <c r="A134" s="1">
        <v>20137324</v>
      </c>
      <c r="B134" t="s">
        <v>290</v>
      </c>
      <c r="C134" t="s">
        <v>291</v>
      </c>
      <c r="D134">
        <v>17000</v>
      </c>
      <c r="E134" t="s">
        <v>9</v>
      </c>
      <c r="F134" t="s">
        <v>246</v>
      </c>
      <c r="G134" t="s">
        <v>247</v>
      </c>
    </row>
    <row r="135" spans="1:7">
      <c r="A135" s="1">
        <v>20137323</v>
      </c>
      <c r="B135" t="s">
        <v>292</v>
      </c>
      <c r="C135" t="s">
        <v>293</v>
      </c>
      <c r="D135">
        <v>17000</v>
      </c>
      <c r="E135" t="s">
        <v>9</v>
      </c>
      <c r="F135" t="s">
        <v>246</v>
      </c>
      <c r="G135" t="s">
        <v>247</v>
      </c>
    </row>
    <row r="136" spans="1:7">
      <c r="A136" s="1">
        <v>20129029</v>
      </c>
      <c r="B136" t="s">
        <v>294</v>
      </c>
      <c r="C136" t="s">
        <v>295</v>
      </c>
      <c r="D136">
        <v>1000</v>
      </c>
      <c r="E136" t="s">
        <v>9</v>
      </c>
      <c r="F136" t="s">
        <v>296</v>
      </c>
      <c r="G136" t="str">
        <f xml:space="preserve">VLOOKUP(A136,[1]umur_produk!$A$2:$C$74,3,FALSE)</f>
        <v>H+180 dari cetak seal</v>
      </c>
    </row>
    <row r="137" spans="1:7">
      <c r="A137" s="1">
        <v>20129205</v>
      </c>
      <c r="B137" t="s">
        <v>297</v>
      </c>
      <c r="C137" t="s">
        <v>298</v>
      </c>
      <c r="D137">
        <v>18000</v>
      </c>
      <c r="E137" t="s">
        <v>9</v>
      </c>
      <c r="F137" t="s">
        <v>13</v>
      </c>
      <c r="G137" t="str">
        <f xml:space="preserve">VLOOKUP(A137,[1]umur_produk!$A$2:$C$74,3,FALSE)</f>
        <v>H+3 dari produksi</v>
      </c>
    </row>
    <row r="138" spans="1:7">
      <c r="A138" s="1">
        <v>20135784</v>
      </c>
      <c r="B138" t="s">
        <v>299</v>
      </c>
      <c r="C138" t="s">
        <v>300</v>
      </c>
      <c r="D138">
        <v>14100</v>
      </c>
      <c r="E138" t="s">
        <v>9</v>
      </c>
      <c r="F138" t="s">
        <v>13</v>
      </c>
      <c r="G138" t="str">
        <f xml:space="preserve">VLOOKUP(A138,[1]umur_produk!$A$2:$C$74,3,FALSE)</f>
        <v>H+3 dari produksi</v>
      </c>
    </row>
    <row r="139" spans="1:7">
      <c r="A139" s="1">
        <v>20134717</v>
      </c>
      <c r="B139" t="s">
        <v>301</v>
      </c>
      <c r="C139" t="s">
        <v>302</v>
      </c>
      <c r="D139">
        <v>17600</v>
      </c>
      <c r="E139" t="s">
        <v>9</v>
      </c>
      <c r="F139" t="s">
        <v>13</v>
      </c>
      <c r="G139" t="str">
        <f xml:space="preserve">VLOOKUP(A139,[1]umur_produk!$A$2:$C$74,3,FALSE)</f>
        <v>H+3 dari produksi</v>
      </c>
    </row>
    <row r="140" spans="1:7">
      <c r="A140" s="1">
        <v>20101492</v>
      </c>
      <c r="B140" t="s">
        <v>303</v>
      </c>
      <c r="C140" t="s">
        <v>304</v>
      </c>
      <c r="D140">
        <v>18000</v>
      </c>
      <c r="E140" t="s">
        <v>9</v>
      </c>
      <c r="F140" t="s">
        <v>13</v>
      </c>
      <c r="G140" t="str">
        <f xml:space="preserve">VLOOKUP(A140,[1]umur_produk!$A$2:$C$74,3,FALSE)</f>
        <v>H+3 dari produksi</v>
      </c>
    </row>
    <row r="141" spans="1:7">
      <c r="A141" s="1">
        <v>20125663</v>
      </c>
      <c r="B141" t="s">
        <v>305</v>
      </c>
      <c r="C141" t="s">
        <v>306</v>
      </c>
      <c r="D141">
        <v>18000</v>
      </c>
      <c r="E141" t="s">
        <v>16</v>
      </c>
      <c r="F141" t="s">
        <v>13</v>
      </c>
      <c r="G141" t="str">
        <f xml:space="preserve">VLOOKUP(A141,[1]umur_produk!$A$2:$C$74,3,FALSE)</f>
        <v>H+3 dari produksi</v>
      </c>
    </row>
    <row r="142" spans="1:7">
      <c r="A142" s="1">
        <v>20125666</v>
      </c>
      <c r="B142" t="s">
        <v>307</v>
      </c>
      <c r="C142" t="s">
        <v>308</v>
      </c>
      <c r="D142">
        <v>18000</v>
      </c>
      <c r="E142" t="s">
        <v>16</v>
      </c>
      <c r="F142" t="s">
        <v>13</v>
      </c>
      <c r="G142" t="str">
        <f xml:space="preserve">VLOOKUP(A142,[1]umur_produk!$A$2:$C$74,3,FALSE)</f>
        <v>H+3 dari produksi</v>
      </c>
    </row>
    <row r="143" spans="1:7">
      <c r="A143" s="1">
        <v>20113631</v>
      </c>
      <c r="B143" t="s">
        <v>309</v>
      </c>
      <c r="C143" t="s">
        <v>310</v>
      </c>
      <c r="D143">
        <v>1700</v>
      </c>
      <c r="E143" t="s">
        <v>9</v>
      </c>
      <c r="F143" t="s">
        <v>29</v>
      </c>
      <c r="G143" t="str">
        <f xml:space="preserve">VLOOKUP(A143,[1]umur_produk!$A$2:$C$74,3,FALSE)</f>
        <v>H+8 dari produksi</v>
      </c>
    </row>
    <row r="144" spans="1:7">
      <c r="A144" s="1">
        <v>20122944</v>
      </c>
      <c r="B144" t="s">
        <v>311</v>
      </c>
      <c r="C144" t="s">
        <v>312</v>
      </c>
      <c r="D144">
        <v>5000</v>
      </c>
      <c r="E144" t="s">
        <v>16</v>
      </c>
      <c r="F144" t="s">
        <v>55</v>
      </c>
      <c r="G144" t="s">
        <v>43</v>
      </c>
    </row>
    <row r="145" spans="1:7">
      <c r="A145" s="1">
        <v>20120589</v>
      </c>
      <c r="B145" t="s">
        <v>313</v>
      </c>
      <c r="C145" t="s">
        <v>314</v>
      </c>
      <c r="D145">
        <v>6100</v>
      </c>
      <c r="E145" t="s">
        <v>9</v>
      </c>
      <c r="F145" t="s">
        <v>55</v>
      </c>
      <c r="G145" t="s">
        <v>43</v>
      </c>
    </row>
    <row r="146" spans="1:7">
      <c r="A146" s="1">
        <v>20093056</v>
      </c>
      <c r="B146" t="s">
        <v>315</v>
      </c>
      <c r="C146" t="s">
        <v>316</v>
      </c>
      <c r="D146">
        <v>8000</v>
      </c>
      <c r="E146" t="s">
        <v>16</v>
      </c>
      <c r="F146" t="s">
        <v>317</v>
      </c>
      <c r="G146" t="s">
        <v>43</v>
      </c>
    </row>
    <row r="147" spans="1:7">
      <c r="A147" s="1">
        <v>20109807</v>
      </c>
      <c r="B147" t="s">
        <v>318</v>
      </c>
      <c r="C147" t="s">
        <v>319</v>
      </c>
      <c r="D147">
        <v>7500</v>
      </c>
      <c r="E147" t="s">
        <v>16</v>
      </c>
      <c r="F147" t="s">
        <v>29</v>
      </c>
      <c r="G147" t="s">
        <v>43</v>
      </c>
    </row>
    <row r="148" spans="1:7">
      <c r="A148" s="1">
        <v>20142158</v>
      </c>
      <c r="B148" t="s">
        <v>320</v>
      </c>
      <c r="C148" t="s">
        <v>321</v>
      </c>
      <c r="D148">
        <v>4650</v>
      </c>
      <c r="E148" t="s">
        <v>16</v>
      </c>
      <c r="F148" t="s">
        <v>20</v>
      </c>
      <c r="G148" t="s">
        <v>43</v>
      </c>
    </row>
    <row r="149" spans="1:7">
      <c r="A149" s="1">
        <v>20091778</v>
      </c>
      <c r="B149" t="s">
        <v>322</v>
      </c>
      <c r="C149" t="s">
        <v>323</v>
      </c>
      <c r="D149">
        <v>17000</v>
      </c>
      <c r="E149" t="s">
        <v>9</v>
      </c>
      <c r="F149" t="s">
        <v>162</v>
      </c>
      <c r="G149" t="str">
        <f xml:space="preserve">VLOOKUP(A149,[1]umur_produk!$A$2:$C$74,3,FALSE)</f>
        <v>H+3 dari produksi</v>
      </c>
    </row>
    <row r="150" spans="1:7">
      <c r="A150" s="1">
        <v>20140116</v>
      </c>
      <c r="B150" t="s">
        <v>324</v>
      </c>
      <c r="C150" t="s">
        <v>325</v>
      </c>
      <c r="D150">
        <v>3400</v>
      </c>
      <c r="E150" t="s">
        <v>16</v>
      </c>
      <c r="F150" t="s">
        <v>20</v>
      </c>
      <c r="G150" t="s">
        <v>43</v>
      </c>
    </row>
    <row r="151" spans="1:7">
      <c r="A151" s="1">
        <v>20122675</v>
      </c>
      <c r="B151" t="s">
        <v>326</v>
      </c>
      <c r="C151" t="s">
        <v>327</v>
      </c>
      <c r="D151">
        <v>23400</v>
      </c>
      <c r="E151" t="s">
        <v>9</v>
      </c>
      <c r="F151" t="s">
        <v>46</v>
      </c>
      <c r="G151" t="str">
        <f xml:space="preserve">VLOOKUP(A151,[1]umur_produk!$A$2:$C$74,3,FALSE)</f>
        <v>H+3 dari produksi</v>
      </c>
    </row>
    <row r="152" spans="1:7">
      <c r="A152" s="1">
        <v>20137497</v>
      </c>
      <c r="B152" t="s">
        <v>328</v>
      </c>
      <c r="C152" t="s">
        <v>329</v>
      </c>
      <c r="D152">
        <v>8700</v>
      </c>
      <c r="E152" t="s">
        <v>16</v>
      </c>
      <c r="F152" t="s">
        <v>20</v>
      </c>
      <c r="G152" t="s">
        <v>43</v>
      </c>
    </row>
    <row r="153" spans="1:7">
      <c r="A153" s="1">
        <v>20130617</v>
      </c>
      <c r="B153" t="s">
        <v>330</v>
      </c>
      <c r="C153" t="s">
        <v>331</v>
      </c>
      <c r="D153">
        <v>5300</v>
      </c>
      <c r="E153" t="s">
        <v>16</v>
      </c>
      <c r="F153" t="s">
        <v>55</v>
      </c>
      <c r="G153" t="s">
        <v>43</v>
      </c>
    </row>
    <row r="154" spans="1:7">
      <c r="A154" s="1">
        <v>20130615</v>
      </c>
      <c r="B154" t="s">
        <v>332</v>
      </c>
      <c r="C154" t="s">
        <v>333</v>
      </c>
      <c r="D154">
        <v>5300</v>
      </c>
      <c r="E154" t="s">
        <v>16</v>
      </c>
      <c r="F154" t="s">
        <v>55</v>
      </c>
      <c r="G154" t="s">
        <v>43</v>
      </c>
    </row>
    <row r="155" spans="1:7">
      <c r="A155" s="1">
        <v>20132133</v>
      </c>
      <c r="B155" t="s">
        <v>334</v>
      </c>
      <c r="C155" t="s">
        <v>335</v>
      </c>
      <c r="D155">
        <v>4600</v>
      </c>
      <c r="E155" t="s">
        <v>16</v>
      </c>
      <c r="F155" t="s">
        <v>55</v>
      </c>
      <c r="G155" t="s">
        <v>43</v>
      </c>
    </row>
    <row r="156" spans="1:7">
      <c r="A156" s="1">
        <v>20133557</v>
      </c>
      <c r="B156" t="s">
        <v>336</v>
      </c>
      <c r="C156" t="s">
        <v>337</v>
      </c>
      <c r="D156">
        <v>4600</v>
      </c>
      <c r="E156" t="s">
        <v>16</v>
      </c>
      <c r="F156" t="s">
        <v>55</v>
      </c>
      <c r="G156" t="s">
        <v>43</v>
      </c>
    </row>
    <row r="157" spans="1:7">
      <c r="A157" s="1">
        <v>20134200</v>
      </c>
      <c r="B157" t="s">
        <v>338</v>
      </c>
      <c r="C157" t="s">
        <v>339</v>
      </c>
      <c r="D157">
        <v>4600</v>
      </c>
      <c r="E157" t="s">
        <v>16</v>
      </c>
      <c r="F157" t="s">
        <v>55</v>
      </c>
      <c r="G157" t="s">
        <v>43</v>
      </c>
    </row>
    <row r="158" spans="1:7">
      <c r="A158" s="1">
        <v>20134201</v>
      </c>
      <c r="B158" t="s">
        <v>340</v>
      </c>
      <c r="C158" t="s">
        <v>341</v>
      </c>
      <c r="D158">
        <v>4600</v>
      </c>
      <c r="E158" t="s">
        <v>16</v>
      </c>
      <c r="F158" t="s">
        <v>55</v>
      </c>
      <c r="G158" t="s">
        <v>43</v>
      </c>
    </row>
    <row r="159" spans="1:7">
      <c r="A159" s="1">
        <v>20133558</v>
      </c>
      <c r="B159" t="s">
        <v>342</v>
      </c>
      <c r="C159" t="s">
        <v>343</v>
      </c>
      <c r="D159">
        <v>4600</v>
      </c>
      <c r="E159" t="s">
        <v>16</v>
      </c>
      <c r="F159" t="s">
        <v>55</v>
      </c>
      <c r="G159" t="s">
        <v>43</v>
      </c>
    </row>
    <row r="160" spans="1:7">
      <c r="A160" s="1">
        <v>20135401</v>
      </c>
      <c r="B160" t="s">
        <v>344</v>
      </c>
      <c r="C160" t="s">
        <v>345</v>
      </c>
      <c r="D160">
        <v>19300</v>
      </c>
      <c r="E160" t="s">
        <v>16</v>
      </c>
      <c r="F160" t="s">
        <v>17</v>
      </c>
      <c r="G160" t="str">
        <f xml:space="preserve">VLOOKUP(A160,[1]umur_produk!$A$2:$C$74,3,FALSE)</f>
        <v>H+4 produksi</v>
      </c>
    </row>
    <row r="161" spans="1:7">
      <c r="A161" s="1">
        <v>20113630</v>
      </c>
      <c r="B161" t="s">
        <v>346</v>
      </c>
      <c r="C161" t="s">
        <v>347</v>
      </c>
      <c r="D161">
        <v>900</v>
      </c>
      <c r="E161" t="s">
        <v>9</v>
      </c>
      <c r="F161" t="s">
        <v>29</v>
      </c>
      <c r="G161" t="str">
        <f xml:space="preserve">VLOOKUP(A161,[1]umur_produk!$A$2:$C$74,3,FALSE)</f>
        <v>H+3 dari produksi</v>
      </c>
    </row>
  </sheetData>
  <autoFilter xmlns:etc="http://www.wps.cn/officeDocument/2017/etCustomData" ref="A1:G1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Rendra Mukti</cp:lastModifiedBy>
  <dcterms:created xsi:type="dcterms:W3CDTF">2026-10-14T02:37:00Z</dcterms:created>
  <dcterms:modified xsi:type="dcterms:W3CDTF">2026-10-19T01:28:32Z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825381CA13E249AFA5927683D8B42021_13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